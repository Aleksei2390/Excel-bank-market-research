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ilevskiy/Downloads/Telegram Desktop/"/>
    </mc:Choice>
  </mc:AlternateContent>
  <xr:revisionPtr revIDLastSave="0" documentId="8_{0E94538F-CEA4-5740-AA50-AFD7A1C0F1B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in Chart" sheetId="1" r:id="rId1"/>
    <sheet name="Main bank" sheetId="3" r:id="rId2"/>
    <sheet name="A trustworthy company" sheetId="6" r:id="rId3"/>
    <sheet name="Priorities" sheetId="7" r:id="rId4"/>
    <sheet name="Gantt chart" sheetId="9" r:id="rId5"/>
  </sheets>
  <definedNames>
    <definedName name="_xlnm._FilterDatabase" localSheetId="0" hidden="1">'Main Chart'!$A$1:$K$101</definedName>
  </definedNames>
  <calcPr calcId="191029"/>
  <pivotCaches>
    <pivotCache cacheId="0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9" l="1"/>
  <c r="F4" i="9" s="1"/>
  <c r="E5" i="9"/>
  <c r="D6" i="9"/>
  <c r="D7" i="9"/>
  <c r="D8" i="9"/>
  <c r="D9" i="9"/>
  <c r="D10" i="9"/>
  <c r="D11" i="9"/>
  <c r="D12" i="9"/>
  <c r="D13" i="9"/>
  <c r="D14" i="9"/>
  <c r="D15" i="9"/>
  <c r="D16" i="9"/>
  <c r="F5" i="9" l="1"/>
  <c r="G4" i="9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G5" i="9" l="1"/>
  <c r="H4" i="9"/>
  <c r="H5" i="9" l="1"/>
  <c r="I4" i="9"/>
  <c r="J4" i="9" l="1"/>
  <c r="I5" i="9"/>
  <c r="J5" i="9" l="1"/>
  <c r="K4" i="9"/>
  <c r="K5" i="9" l="1"/>
  <c r="L4" i="9"/>
  <c r="L5" i="9" l="1"/>
  <c r="M4" i="9"/>
  <c r="M5" i="9" l="1"/>
  <c r="N4" i="9"/>
  <c r="N5" i="9" l="1"/>
  <c r="O4" i="9"/>
  <c r="O5" i="9" l="1"/>
  <c r="P4" i="9"/>
  <c r="P5" i="9" l="1"/>
  <c r="Q4" i="9"/>
  <c r="Q5" i="9" l="1"/>
  <c r="R4" i="9"/>
  <c r="S4" i="9" l="1"/>
  <c r="R5" i="9"/>
  <c r="S5" i="9" l="1"/>
  <c r="T4" i="9"/>
  <c r="T5" i="9" l="1"/>
  <c r="U4" i="9"/>
  <c r="U5" i="9" l="1"/>
  <c r="V4" i="9"/>
  <c r="W4" i="9" l="1"/>
  <c r="V5" i="9"/>
  <c r="W5" i="9" l="1"/>
  <c r="X4" i="9"/>
  <c r="X5" i="9" l="1"/>
  <c r="Y4" i="9"/>
  <c r="Y5" i="9" l="1"/>
  <c r="Z4" i="9"/>
  <c r="Z5" i="9" l="1"/>
  <c r="AA4" i="9"/>
  <c r="AB4" i="9" l="1"/>
  <c r="AA5" i="9"/>
  <c r="AB5" i="9" l="1"/>
  <c r="AC4" i="9"/>
  <c r="AC5" i="9" l="1"/>
  <c r="AD4" i="9"/>
  <c r="AE4" i="9" l="1"/>
  <c r="AD5" i="9"/>
  <c r="AE5" i="9" l="1"/>
  <c r="AF4" i="9"/>
  <c r="AF5" i="9" s="1"/>
</calcChain>
</file>

<file path=xl/sharedStrings.xml><?xml version="1.0" encoding="utf-8"?>
<sst xmlns="http://schemas.openxmlformats.org/spreadsheetml/2006/main" count="166" uniqueCount="46">
  <si>
    <t>Gender</t>
  </si>
  <si>
    <t>Age</t>
  </si>
  <si>
    <t>UnoCredit</t>
  </si>
  <si>
    <t>IMN Bank</t>
  </si>
  <si>
    <t>Swotbank</t>
  </si>
  <si>
    <t>Bank of Braavos</t>
  </si>
  <si>
    <t>Gringotts Bank</t>
  </si>
  <si>
    <t>A serious and stable company</t>
  </si>
  <si>
    <t>A progressive and modern company</t>
  </si>
  <si>
    <t>Service quality</t>
  </si>
  <si>
    <t>A trustworthy company</t>
  </si>
  <si>
    <t>Main bank</t>
  </si>
  <si>
    <t>Company’s lifetime on the market</t>
  </si>
  <si>
    <t>Offers all common credit services / products you need</t>
  </si>
  <si>
    <t>Ease and speed of processing  credit products</t>
  </si>
  <si>
    <t>Age group</t>
  </si>
  <si>
    <t>18–21</t>
  </si>
  <si>
    <t>22–25</t>
  </si>
  <si>
    <t>26–30</t>
  </si>
  <si>
    <t>Total</t>
  </si>
  <si>
    <t>Average A trustworthy company</t>
  </si>
  <si>
    <t/>
  </si>
  <si>
    <t>Others</t>
  </si>
  <si>
    <t>Main bank.</t>
  </si>
  <si>
    <t>Average Service quality</t>
  </si>
  <si>
    <t>Average Ease and speed of processing  credit products</t>
  </si>
  <si>
    <t>Average A progressive and modern company</t>
  </si>
  <si>
    <t>Project name:</t>
  </si>
  <si>
    <t>Market Research Project</t>
  </si>
  <si>
    <t>Project start date:</t>
  </si>
  <si>
    <t>Stage</t>
  </si>
  <si>
    <t>Start date</t>
  </si>
  <si>
    <t>End date</t>
  </si>
  <si>
    <t>Duration (days)</t>
  </si>
  <si>
    <t>February</t>
  </si>
  <si>
    <t>Campaign objectives definition</t>
  </si>
  <si>
    <t>Target audience analysis (18–30)</t>
  </si>
  <si>
    <t>Competitor analysis</t>
  </si>
  <si>
    <t>Research methodology selection</t>
  </si>
  <si>
    <t>Key variables and indicators definition</t>
  </si>
  <si>
    <t>Questionnaire and metrics design</t>
  </si>
  <si>
    <t>Data cleaning and formatting</t>
  </si>
  <si>
    <t>Variable grouping (age groups, segments)</t>
  </si>
  <si>
    <t>Dataset structuring for analysis</t>
  </si>
  <si>
    <t>Descriptive statistics analysis</t>
  </si>
  <si>
    <t>Visualization and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</si>
</sst>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215C9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1"/>
    <xf numFmtId="0" fontId="8" fillId="0" borderId="0" xfId="1" applyAlignment="1">
      <alignment horizontal="center" vertical="center"/>
    </xf>
    <xf numFmtId="0" fontId="8" fillId="0" borderId="2" xfId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8" fillId="0" borderId="2" xfId="1" applyBorder="1"/>
    <xf numFmtId="14" fontId="8" fillId="0" borderId="2" xfId="1" applyNumberFormat="1" applyBorder="1"/>
    <xf numFmtId="0" fontId="8" fillId="0" borderId="2" xfId="1" applyBorder="1" applyAlignment="1">
      <alignment horizontal="left" indent="1"/>
    </xf>
    <xf numFmtId="0" fontId="7" fillId="0" borderId="2" xfId="1" applyFont="1" applyBorder="1"/>
    <xf numFmtId="0" fontId="6" fillId="0" borderId="2" xfId="1" applyFont="1" applyBorder="1" applyAlignment="1">
      <alignment horizontal="left" indent="1"/>
    </xf>
    <xf numFmtId="0" fontId="5" fillId="4" borderId="2" xfId="1" applyFont="1" applyFill="1" applyBorder="1" applyAlignment="1">
      <alignment horizontal="center" vertical="center"/>
    </xf>
    <xf numFmtId="0" fontId="4" fillId="4" borderId="0" xfId="1" applyFont="1" applyFill="1"/>
    <xf numFmtId="0" fontId="4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65" fontId="4" fillId="4" borderId="0" xfId="1" applyNumberFormat="1" applyFont="1" applyFill="1"/>
    <xf numFmtId="165" fontId="4" fillId="3" borderId="2" xfId="1" applyNumberFormat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14" fontId="8" fillId="0" borderId="0" xfId="1" applyNumberFormat="1" applyAlignment="1">
      <alignment horizontal="left"/>
    </xf>
    <xf numFmtId="0" fontId="2" fillId="0" borderId="0" xfId="1" applyFont="1"/>
    <xf numFmtId="0" fontId="8" fillId="0" borderId="0" xfId="1" applyAlignment="1">
      <alignment horizontal="left"/>
    </xf>
  </cellXfs>
  <cellStyles count="2">
    <cellStyle name="Обычный" xfId="0" builtinId="0"/>
    <cellStyle name="Обычный 2" xfId="1" xr:uid="{2CB4D74D-DC79-7A4F-AB29-8399527DE6B0}"/>
  </cellStyles>
  <dxfs count="2">
    <dxf>
      <fill>
        <patternFill>
          <bgColor theme="3" tint="0.24994659260841701"/>
        </patternFill>
      </fill>
    </dxf>
    <dxf>
      <border>
        <left style="thin">
          <color rgb="FFEE0000"/>
        </left>
        <right style="thin">
          <color rgb="FFEE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2.730012962966" createdVersion="8" refreshedVersion="8" minRefreshableVersion="3" recordCount="100" xr:uid="{2A86B763-4796-3543-8C18-4BC4F9209EB1}">
  <cacheSource type="worksheet">
    <worksheetSource ref="A1:K101" sheet="Main Chart"/>
  </cacheSource>
  <cacheFields count="11">
    <cacheField name="Main bank" numFmtId="0">
      <sharedItems count="5">
        <s v="UnoCredit"/>
        <s v="Gringotts Bank"/>
        <s v="Swotbank"/>
        <s v="IMN Bank"/>
        <s v="Bank of Braavos"/>
      </sharedItems>
    </cacheField>
    <cacheField name="Gender" numFmtId="0">
      <sharedItems containsSemiMixedTypes="0" containsString="0" containsNumber="1" containsInteger="1" minValue="1" maxValue="2"/>
    </cacheField>
    <cacheField name="Age" numFmtId="0">
      <sharedItems containsSemiMixedTypes="0" containsString="0" containsNumber="1" containsInteger="1" minValue="18" maxValue="64"/>
    </cacheField>
    <cacheField name="A serious and stable company" numFmtId="0">
      <sharedItems containsSemiMixedTypes="0" containsString="0" containsNumber="1" containsInteger="1" minValue="1" maxValue="5"/>
    </cacheField>
    <cacheField name="A progressive and modern company" numFmtId="0">
      <sharedItems containsSemiMixedTypes="0" containsString="0" containsNumber="1" containsInteger="1" minValue="1" maxValue="9"/>
    </cacheField>
    <cacheField name="Service quality" numFmtId="0">
      <sharedItems containsSemiMixedTypes="0" containsString="0" containsNumber="1" containsInteger="1" minValue="1" maxValue="5"/>
    </cacheField>
    <cacheField name="Offers all common credit services / products you need" numFmtId="0">
      <sharedItems containsSemiMixedTypes="0" containsString="0" containsNumber="1" containsInteger="1" minValue="2" maxValue="5"/>
    </cacheField>
    <cacheField name="Ease and speed of processing  credit products" numFmtId="0">
      <sharedItems containsSemiMixedTypes="0" containsString="0" containsNumber="1" containsInteger="1" minValue="2" maxValue="5"/>
    </cacheField>
    <cacheField name="Company’s lifetime on the market" numFmtId="0">
      <sharedItems containsSemiMixedTypes="0" containsString="0" containsNumber="1" containsInteger="1" minValue="1" maxValue="5"/>
    </cacheField>
    <cacheField name="A trustworthy company" numFmtId="0">
      <sharedItems containsSemiMixedTypes="0" containsString="0" containsNumber="1" containsInteger="1" minValue="2" maxValue="9"/>
    </cacheField>
    <cacheField name="Age group" numFmtId="0">
      <sharedItems count="4">
        <s v="18–21"/>
        <s v="22–25"/>
        <s v="26–30"/>
        <s v="не Ц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2.756641203705" createdVersion="8" refreshedVersion="8" minRefreshableVersion="3" recordCount="41" xr:uid="{8935653F-A0B8-BD4B-A412-6BD8D9212FC2}">
  <cacheSource type="worksheet">
    <worksheetSource ref="A1:K42" sheet="Main Chart"/>
  </cacheSource>
  <cacheFields count="11">
    <cacheField name="Main bank" numFmtId="0">
      <sharedItems count="5">
        <s v="UnoCredit"/>
        <s v="Gringotts Bank"/>
        <s v="Swotbank"/>
        <s v="IMN Bank"/>
        <s v="Bank of Braavos"/>
      </sharedItems>
    </cacheField>
    <cacheField name="Gender" numFmtId="0">
      <sharedItems containsSemiMixedTypes="0" containsString="0" containsNumber="1" containsInteger="1" minValue="1" maxValue="2"/>
    </cacheField>
    <cacheField name="Age" numFmtId="0">
      <sharedItems containsSemiMixedTypes="0" containsString="0" containsNumber="1" containsInteger="1" minValue="18" maxValue="29"/>
    </cacheField>
    <cacheField name="A serious and stable company" numFmtId="0">
      <sharedItems containsSemiMixedTypes="0" containsString="0" containsNumber="1" containsInteger="1" minValue="1" maxValue="5"/>
    </cacheField>
    <cacheField name="A progressive and modern company" numFmtId="0">
      <sharedItems containsSemiMixedTypes="0" containsString="0" containsNumber="1" containsInteger="1" minValue="1" maxValue="9"/>
    </cacheField>
    <cacheField name="Service quality" numFmtId="0">
      <sharedItems containsSemiMixedTypes="0" containsString="0" containsNumber="1" containsInteger="1" minValue="3" maxValue="5"/>
    </cacheField>
    <cacheField name="Offers all common credit services / products you need" numFmtId="0">
      <sharedItems containsSemiMixedTypes="0" containsString="0" containsNumber="1" containsInteger="1" minValue="3" maxValue="5"/>
    </cacheField>
    <cacheField name="Ease and speed of processing  credit products" numFmtId="0">
      <sharedItems containsSemiMixedTypes="0" containsString="0" containsNumber="1" containsInteger="1" minValue="2" maxValue="5"/>
    </cacheField>
    <cacheField name="Company’s lifetime on the market" numFmtId="0">
      <sharedItems containsSemiMixedTypes="0" containsString="0" containsNumber="1" containsInteger="1" minValue="1" maxValue="5"/>
    </cacheField>
    <cacheField name="A trustworthy company" numFmtId="0">
      <sharedItems containsSemiMixedTypes="0" containsString="0" containsNumber="1" containsInteger="1" minValue="2" maxValue="5"/>
    </cacheField>
    <cacheField name="Age group" numFmtId="0">
      <sharedItems count="3">
        <s v="18–21"/>
        <s v="22–25"/>
        <s v="26–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2"/>
    <n v="18"/>
    <n v="4"/>
    <n v="5"/>
    <n v="4"/>
    <n v="5"/>
    <n v="4"/>
    <n v="4"/>
    <n v="5"/>
    <x v="0"/>
  </r>
  <r>
    <x v="0"/>
    <n v="1"/>
    <n v="18"/>
    <n v="5"/>
    <n v="4"/>
    <n v="5"/>
    <n v="5"/>
    <n v="5"/>
    <n v="5"/>
    <n v="5"/>
    <x v="0"/>
  </r>
  <r>
    <x v="1"/>
    <n v="2"/>
    <n v="18"/>
    <n v="5"/>
    <n v="3"/>
    <n v="4"/>
    <n v="4"/>
    <n v="4"/>
    <n v="5"/>
    <n v="2"/>
    <x v="0"/>
  </r>
  <r>
    <x v="0"/>
    <n v="1"/>
    <n v="18"/>
    <n v="5"/>
    <n v="4"/>
    <n v="5"/>
    <n v="4"/>
    <n v="5"/>
    <n v="4"/>
    <n v="5"/>
    <x v="0"/>
  </r>
  <r>
    <x v="1"/>
    <n v="1"/>
    <n v="18"/>
    <n v="5"/>
    <n v="2"/>
    <n v="5"/>
    <n v="5"/>
    <n v="5"/>
    <n v="5"/>
    <n v="5"/>
    <x v="0"/>
  </r>
  <r>
    <x v="2"/>
    <n v="1"/>
    <n v="18"/>
    <n v="2"/>
    <n v="4"/>
    <n v="4"/>
    <n v="5"/>
    <n v="4"/>
    <n v="2"/>
    <n v="4"/>
    <x v="0"/>
  </r>
  <r>
    <x v="1"/>
    <n v="1"/>
    <n v="19"/>
    <n v="4"/>
    <n v="4"/>
    <n v="5"/>
    <n v="5"/>
    <n v="5"/>
    <n v="3"/>
    <n v="5"/>
    <x v="0"/>
  </r>
  <r>
    <x v="0"/>
    <n v="2"/>
    <n v="19"/>
    <n v="5"/>
    <n v="4"/>
    <n v="5"/>
    <n v="5"/>
    <n v="5"/>
    <n v="4"/>
    <n v="4"/>
    <x v="0"/>
  </r>
  <r>
    <x v="1"/>
    <n v="2"/>
    <n v="19"/>
    <n v="5"/>
    <n v="4"/>
    <n v="4"/>
    <n v="5"/>
    <n v="4"/>
    <n v="4"/>
    <n v="5"/>
    <x v="0"/>
  </r>
  <r>
    <x v="3"/>
    <n v="1"/>
    <n v="19"/>
    <n v="5"/>
    <n v="4"/>
    <n v="4"/>
    <n v="5"/>
    <n v="5"/>
    <n v="4"/>
    <n v="5"/>
    <x v="0"/>
  </r>
  <r>
    <x v="4"/>
    <n v="2"/>
    <n v="19"/>
    <n v="5"/>
    <n v="5"/>
    <n v="5"/>
    <n v="5"/>
    <n v="5"/>
    <n v="5"/>
    <n v="5"/>
    <x v="0"/>
  </r>
  <r>
    <x v="1"/>
    <n v="1"/>
    <n v="19"/>
    <n v="4"/>
    <n v="3"/>
    <n v="4"/>
    <n v="4"/>
    <n v="5"/>
    <n v="5"/>
    <n v="4"/>
    <x v="0"/>
  </r>
  <r>
    <x v="4"/>
    <n v="2"/>
    <n v="19"/>
    <n v="5"/>
    <n v="9"/>
    <n v="5"/>
    <n v="5"/>
    <n v="3"/>
    <n v="4"/>
    <n v="5"/>
    <x v="0"/>
  </r>
  <r>
    <x v="1"/>
    <n v="2"/>
    <n v="19"/>
    <n v="4"/>
    <n v="3"/>
    <n v="5"/>
    <n v="4"/>
    <n v="4"/>
    <n v="4"/>
    <n v="4"/>
    <x v="0"/>
  </r>
  <r>
    <x v="4"/>
    <n v="1"/>
    <n v="20"/>
    <n v="5"/>
    <n v="3"/>
    <n v="5"/>
    <n v="5"/>
    <n v="4"/>
    <n v="5"/>
    <n v="5"/>
    <x v="0"/>
  </r>
  <r>
    <x v="1"/>
    <n v="1"/>
    <n v="20"/>
    <n v="5"/>
    <n v="5"/>
    <n v="5"/>
    <n v="4"/>
    <n v="5"/>
    <n v="4"/>
    <n v="5"/>
    <x v="0"/>
  </r>
  <r>
    <x v="1"/>
    <n v="1"/>
    <n v="20"/>
    <n v="5"/>
    <n v="4"/>
    <n v="4"/>
    <n v="4"/>
    <n v="4"/>
    <n v="4"/>
    <n v="5"/>
    <x v="0"/>
  </r>
  <r>
    <x v="4"/>
    <n v="2"/>
    <n v="20"/>
    <n v="5"/>
    <n v="4"/>
    <n v="3"/>
    <n v="5"/>
    <n v="2"/>
    <n v="5"/>
    <n v="4"/>
    <x v="0"/>
  </r>
  <r>
    <x v="1"/>
    <n v="1"/>
    <n v="21"/>
    <n v="5"/>
    <n v="4"/>
    <n v="5"/>
    <n v="5"/>
    <n v="4"/>
    <n v="1"/>
    <n v="5"/>
    <x v="0"/>
  </r>
  <r>
    <x v="2"/>
    <n v="2"/>
    <n v="22"/>
    <n v="5"/>
    <n v="5"/>
    <n v="5"/>
    <n v="5"/>
    <n v="5"/>
    <n v="4"/>
    <n v="5"/>
    <x v="1"/>
  </r>
  <r>
    <x v="2"/>
    <n v="1"/>
    <n v="22"/>
    <n v="1"/>
    <n v="3"/>
    <n v="5"/>
    <n v="4"/>
    <n v="5"/>
    <n v="1"/>
    <n v="4"/>
    <x v="1"/>
  </r>
  <r>
    <x v="4"/>
    <n v="2"/>
    <n v="22"/>
    <n v="5"/>
    <n v="1"/>
    <n v="5"/>
    <n v="5"/>
    <n v="5"/>
    <n v="5"/>
    <n v="5"/>
    <x v="1"/>
  </r>
  <r>
    <x v="4"/>
    <n v="1"/>
    <n v="23"/>
    <n v="5"/>
    <n v="5"/>
    <n v="5"/>
    <n v="5"/>
    <n v="5"/>
    <n v="5"/>
    <n v="5"/>
    <x v="1"/>
  </r>
  <r>
    <x v="1"/>
    <n v="1"/>
    <n v="23"/>
    <n v="5"/>
    <n v="5"/>
    <n v="5"/>
    <n v="5"/>
    <n v="4"/>
    <n v="4"/>
    <n v="4"/>
    <x v="1"/>
  </r>
  <r>
    <x v="4"/>
    <n v="1"/>
    <n v="24"/>
    <n v="5"/>
    <n v="4"/>
    <n v="5"/>
    <n v="4"/>
    <n v="4"/>
    <n v="5"/>
    <n v="4"/>
    <x v="1"/>
  </r>
  <r>
    <x v="0"/>
    <n v="1"/>
    <n v="25"/>
    <n v="5"/>
    <n v="4"/>
    <n v="5"/>
    <n v="4"/>
    <n v="5"/>
    <n v="4"/>
    <n v="5"/>
    <x v="1"/>
  </r>
  <r>
    <x v="1"/>
    <n v="1"/>
    <n v="25"/>
    <n v="4"/>
    <n v="5"/>
    <n v="5"/>
    <n v="5"/>
    <n v="4"/>
    <n v="3"/>
    <n v="4"/>
    <x v="1"/>
  </r>
  <r>
    <x v="0"/>
    <n v="2"/>
    <n v="26"/>
    <n v="5"/>
    <n v="4"/>
    <n v="4"/>
    <n v="5"/>
    <n v="4"/>
    <n v="4"/>
    <n v="5"/>
    <x v="2"/>
  </r>
  <r>
    <x v="1"/>
    <n v="2"/>
    <n v="26"/>
    <n v="5"/>
    <n v="4"/>
    <n v="5"/>
    <n v="4"/>
    <n v="5"/>
    <n v="5"/>
    <n v="5"/>
    <x v="2"/>
  </r>
  <r>
    <x v="4"/>
    <n v="2"/>
    <n v="26"/>
    <n v="4"/>
    <n v="3"/>
    <n v="5"/>
    <n v="3"/>
    <n v="4"/>
    <n v="4"/>
    <n v="3"/>
    <x v="2"/>
  </r>
  <r>
    <x v="2"/>
    <n v="1"/>
    <n v="26"/>
    <n v="5"/>
    <n v="4"/>
    <n v="5"/>
    <n v="4"/>
    <n v="5"/>
    <n v="1"/>
    <n v="5"/>
    <x v="2"/>
  </r>
  <r>
    <x v="4"/>
    <n v="2"/>
    <n v="26"/>
    <n v="5"/>
    <n v="4"/>
    <n v="5"/>
    <n v="5"/>
    <n v="4"/>
    <n v="4"/>
    <n v="4"/>
    <x v="2"/>
  </r>
  <r>
    <x v="0"/>
    <n v="2"/>
    <n v="26"/>
    <n v="5"/>
    <n v="4"/>
    <n v="5"/>
    <n v="5"/>
    <n v="5"/>
    <n v="4"/>
    <n v="5"/>
    <x v="2"/>
  </r>
  <r>
    <x v="1"/>
    <n v="2"/>
    <n v="26"/>
    <n v="5"/>
    <n v="4"/>
    <n v="4"/>
    <n v="5"/>
    <n v="4"/>
    <n v="4"/>
    <n v="5"/>
    <x v="2"/>
  </r>
  <r>
    <x v="1"/>
    <n v="2"/>
    <n v="27"/>
    <n v="5"/>
    <n v="4"/>
    <n v="4"/>
    <n v="4"/>
    <n v="4"/>
    <n v="4"/>
    <n v="5"/>
    <x v="2"/>
  </r>
  <r>
    <x v="0"/>
    <n v="1"/>
    <n v="27"/>
    <n v="4"/>
    <n v="5"/>
    <n v="4"/>
    <n v="4"/>
    <n v="4"/>
    <n v="4"/>
    <n v="5"/>
    <x v="2"/>
  </r>
  <r>
    <x v="4"/>
    <n v="1"/>
    <n v="28"/>
    <n v="5"/>
    <n v="4"/>
    <n v="5"/>
    <n v="5"/>
    <n v="4"/>
    <n v="5"/>
    <n v="5"/>
    <x v="2"/>
  </r>
  <r>
    <x v="2"/>
    <n v="1"/>
    <n v="28"/>
    <n v="5"/>
    <n v="3"/>
    <n v="5"/>
    <n v="4"/>
    <n v="4"/>
    <n v="4"/>
    <n v="5"/>
    <x v="2"/>
  </r>
  <r>
    <x v="0"/>
    <n v="2"/>
    <n v="29"/>
    <n v="5"/>
    <n v="3"/>
    <n v="4"/>
    <n v="4"/>
    <n v="4"/>
    <n v="1"/>
    <n v="5"/>
    <x v="2"/>
  </r>
  <r>
    <x v="0"/>
    <n v="2"/>
    <n v="29"/>
    <n v="5"/>
    <n v="5"/>
    <n v="5"/>
    <n v="3"/>
    <n v="5"/>
    <n v="5"/>
    <n v="4"/>
    <x v="2"/>
  </r>
  <r>
    <x v="1"/>
    <n v="1"/>
    <n v="29"/>
    <n v="5"/>
    <n v="3"/>
    <n v="5"/>
    <n v="5"/>
    <n v="4"/>
    <n v="2"/>
    <n v="5"/>
    <x v="2"/>
  </r>
  <r>
    <x v="3"/>
    <n v="2"/>
    <n v="31"/>
    <n v="5"/>
    <n v="5"/>
    <n v="5"/>
    <n v="5"/>
    <n v="4"/>
    <n v="4"/>
    <n v="5"/>
    <x v="3"/>
  </r>
  <r>
    <x v="0"/>
    <n v="2"/>
    <n v="31"/>
    <n v="4"/>
    <n v="3"/>
    <n v="5"/>
    <n v="5"/>
    <n v="5"/>
    <n v="5"/>
    <n v="5"/>
    <x v="3"/>
  </r>
  <r>
    <x v="3"/>
    <n v="1"/>
    <n v="32"/>
    <n v="4"/>
    <n v="5"/>
    <n v="5"/>
    <n v="5"/>
    <n v="4"/>
    <n v="5"/>
    <n v="4"/>
    <x v="3"/>
  </r>
  <r>
    <x v="2"/>
    <n v="2"/>
    <n v="33"/>
    <n v="5"/>
    <n v="5"/>
    <n v="5"/>
    <n v="4"/>
    <n v="4"/>
    <n v="5"/>
    <n v="4"/>
    <x v="3"/>
  </r>
  <r>
    <x v="1"/>
    <n v="2"/>
    <n v="33"/>
    <n v="5"/>
    <n v="4"/>
    <n v="4"/>
    <n v="4"/>
    <n v="3"/>
    <n v="5"/>
    <n v="5"/>
    <x v="3"/>
  </r>
  <r>
    <x v="4"/>
    <n v="1"/>
    <n v="33"/>
    <n v="5"/>
    <n v="3"/>
    <n v="4"/>
    <n v="3"/>
    <n v="4"/>
    <n v="4"/>
    <n v="4"/>
    <x v="3"/>
  </r>
  <r>
    <x v="0"/>
    <n v="2"/>
    <n v="34"/>
    <n v="5"/>
    <n v="4"/>
    <n v="5"/>
    <n v="4"/>
    <n v="5"/>
    <n v="2"/>
    <n v="5"/>
    <x v="3"/>
  </r>
  <r>
    <x v="2"/>
    <n v="1"/>
    <n v="35"/>
    <n v="5"/>
    <n v="4"/>
    <n v="5"/>
    <n v="5"/>
    <n v="4"/>
    <n v="5"/>
    <n v="5"/>
    <x v="3"/>
  </r>
  <r>
    <x v="3"/>
    <n v="2"/>
    <n v="36"/>
    <n v="5"/>
    <n v="5"/>
    <n v="5"/>
    <n v="5"/>
    <n v="5"/>
    <n v="4"/>
    <n v="5"/>
    <x v="3"/>
  </r>
  <r>
    <x v="3"/>
    <n v="1"/>
    <n v="36"/>
    <n v="5"/>
    <n v="4"/>
    <n v="5"/>
    <n v="5"/>
    <n v="5"/>
    <n v="5"/>
    <n v="5"/>
    <x v="3"/>
  </r>
  <r>
    <x v="1"/>
    <n v="2"/>
    <n v="37"/>
    <n v="4"/>
    <n v="4"/>
    <n v="5"/>
    <n v="5"/>
    <n v="4"/>
    <n v="4"/>
    <n v="5"/>
    <x v="3"/>
  </r>
  <r>
    <x v="1"/>
    <n v="2"/>
    <n v="38"/>
    <n v="5"/>
    <n v="4"/>
    <n v="5"/>
    <n v="5"/>
    <n v="5"/>
    <n v="3"/>
    <n v="5"/>
    <x v="3"/>
  </r>
  <r>
    <x v="2"/>
    <n v="2"/>
    <n v="38"/>
    <n v="4"/>
    <n v="5"/>
    <n v="5"/>
    <n v="4"/>
    <n v="4"/>
    <n v="4"/>
    <n v="4"/>
    <x v="3"/>
  </r>
  <r>
    <x v="3"/>
    <n v="1"/>
    <n v="38"/>
    <n v="5"/>
    <n v="3"/>
    <n v="5"/>
    <n v="5"/>
    <n v="5"/>
    <n v="3"/>
    <n v="5"/>
    <x v="3"/>
  </r>
  <r>
    <x v="2"/>
    <n v="2"/>
    <n v="39"/>
    <n v="4"/>
    <n v="3"/>
    <n v="4"/>
    <n v="3"/>
    <n v="4"/>
    <n v="4"/>
    <n v="5"/>
    <x v="3"/>
  </r>
  <r>
    <x v="0"/>
    <n v="2"/>
    <n v="39"/>
    <n v="4"/>
    <n v="4"/>
    <n v="5"/>
    <n v="4"/>
    <n v="4"/>
    <n v="3"/>
    <n v="4"/>
    <x v="3"/>
  </r>
  <r>
    <x v="2"/>
    <n v="1"/>
    <n v="39"/>
    <n v="4"/>
    <n v="5"/>
    <n v="5"/>
    <n v="4"/>
    <n v="5"/>
    <n v="5"/>
    <n v="4"/>
    <x v="3"/>
  </r>
  <r>
    <x v="0"/>
    <n v="1"/>
    <n v="39"/>
    <n v="5"/>
    <n v="4"/>
    <n v="3"/>
    <n v="3"/>
    <n v="5"/>
    <n v="5"/>
    <n v="4"/>
    <x v="3"/>
  </r>
  <r>
    <x v="4"/>
    <n v="2"/>
    <n v="40"/>
    <n v="5"/>
    <n v="5"/>
    <n v="5"/>
    <n v="5"/>
    <n v="5"/>
    <n v="4"/>
    <n v="5"/>
    <x v="3"/>
  </r>
  <r>
    <x v="1"/>
    <n v="2"/>
    <n v="40"/>
    <n v="5"/>
    <n v="4"/>
    <n v="4"/>
    <n v="5"/>
    <n v="4"/>
    <n v="4"/>
    <n v="4"/>
    <x v="3"/>
  </r>
  <r>
    <x v="2"/>
    <n v="1"/>
    <n v="41"/>
    <n v="5"/>
    <n v="4"/>
    <n v="4"/>
    <n v="5"/>
    <n v="4"/>
    <n v="5"/>
    <n v="4"/>
    <x v="3"/>
  </r>
  <r>
    <x v="4"/>
    <n v="2"/>
    <n v="41"/>
    <n v="5"/>
    <n v="4"/>
    <n v="4"/>
    <n v="4"/>
    <n v="5"/>
    <n v="5"/>
    <n v="5"/>
    <x v="3"/>
  </r>
  <r>
    <x v="1"/>
    <n v="2"/>
    <n v="41"/>
    <n v="5"/>
    <n v="4"/>
    <n v="5"/>
    <n v="5"/>
    <n v="4"/>
    <n v="5"/>
    <n v="5"/>
    <x v="3"/>
  </r>
  <r>
    <x v="4"/>
    <n v="2"/>
    <n v="41"/>
    <n v="5"/>
    <n v="5"/>
    <n v="5"/>
    <n v="4"/>
    <n v="3"/>
    <n v="4"/>
    <n v="4"/>
    <x v="3"/>
  </r>
  <r>
    <x v="2"/>
    <n v="1"/>
    <n v="41"/>
    <n v="5"/>
    <n v="5"/>
    <n v="5"/>
    <n v="4"/>
    <n v="4"/>
    <n v="3"/>
    <n v="5"/>
    <x v="3"/>
  </r>
  <r>
    <x v="0"/>
    <n v="2"/>
    <n v="42"/>
    <n v="5"/>
    <n v="4"/>
    <n v="5"/>
    <n v="5"/>
    <n v="5"/>
    <n v="5"/>
    <n v="5"/>
    <x v="3"/>
  </r>
  <r>
    <x v="3"/>
    <n v="1"/>
    <n v="42"/>
    <n v="4"/>
    <n v="4"/>
    <n v="5"/>
    <n v="5"/>
    <n v="3"/>
    <n v="3"/>
    <n v="4"/>
    <x v="3"/>
  </r>
  <r>
    <x v="4"/>
    <n v="1"/>
    <n v="42"/>
    <n v="5"/>
    <n v="4"/>
    <n v="5"/>
    <n v="3"/>
    <n v="5"/>
    <n v="4"/>
    <n v="5"/>
    <x v="3"/>
  </r>
  <r>
    <x v="2"/>
    <n v="1"/>
    <n v="42"/>
    <n v="4"/>
    <n v="4"/>
    <n v="5"/>
    <n v="4"/>
    <n v="5"/>
    <n v="5"/>
    <n v="5"/>
    <x v="3"/>
  </r>
  <r>
    <x v="0"/>
    <n v="2"/>
    <n v="42"/>
    <n v="5"/>
    <n v="4"/>
    <n v="5"/>
    <n v="5"/>
    <n v="5"/>
    <n v="5"/>
    <n v="5"/>
    <x v="3"/>
  </r>
  <r>
    <x v="4"/>
    <n v="1"/>
    <n v="42"/>
    <n v="4"/>
    <n v="4"/>
    <n v="4"/>
    <n v="4"/>
    <n v="4"/>
    <n v="4"/>
    <n v="4"/>
    <x v="3"/>
  </r>
  <r>
    <x v="3"/>
    <n v="1"/>
    <n v="42"/>
    <n v="5"/>
    <n v="4"/>
    <n v="5"/>
    <n v="5"/>
    <n v="4"/>
    <n v="5"/>
    <n v="5"/>
    <x v="3"/>
  </r>
  <r>
    <x v="0"/>
    <n v="2"/>
    <n v="42"/>
    <n v="4"/>
    <n v="4"/>
    <n v="4"/>
    <n v="5"/>
    <n v="4"/>
    <n v="4"/>
    <n v="3"/>
    <x v="3"/>
  </r>
  <r>
    <x v="4"/>
    <n v="1"/>
    <n v="42"/>
    <n v="1"/>
    <n v="1"/>
    <n v="3"/>
    <n v="3"/>
    <n v="3"/>
    <n v="3"/>
    <n v="5"/>
    <x v="3"/>
  </r>
  <r>
    <x v="4"/>
    <n v="2"/>
    <n v="44"/>
    <n v="5"/>
    <n v="4"/>
    <n v="4"/>
    <n v="4"/>
    <n v="4"/>
    <n v="1"/>
    <n v="4"/>
    <x v="3"/>
  </r>
  <r>
    <x v="1"/>
    <n v="2"/>
    <n v="44"/>
    <n v="5"/>
    <n v="3"/>
    <n v="5"/>
    <n v="5"/>
    <n v="5"/>
    <n v="5"/>
    <n v="5"/>
    <x v="3"/>
  </r>
  <r>
    <x v="4"/>
    <n v="1"/>
    <n v="45"/>
    <n v="4"/>
    <n v="5"/>
    <n v="4"/>
    <n v="4"/>
    <n v="3"/>
    <n v="5"/>
    <n v="5"/>
    <x v="3"/>
  </r>
  <r>
    <x v="1"/>
    <n v="1"/>
    <n v="45"/>
    <n v="4"/>
    <n v="5"/>
    <n v="5"/>
    <n v="5"/>
    <n v="4"/>
    <n v="5"/>
    <n v="5"/>
    <x v="3"/>
  </r>
  <r>
    <x v="0"/>
    <n v="2"/>
    <n v="46"/>
    <n v="4"/>
    <n v="5"/>
    <n v="4"/>
    <n v="5"/>
    <n v="5"/>
    <n v="5"/>
    <n v="4"/>
    <x v="3"/>
  </r>
  <r>
    <x v="4"/>
    <n v="1"/>
    <n v="47"/>
    <n v="5"/>
    <n v="4"/>
    <n v="4"/>
    <n v="5"/>
    <n v="5"/>
    <n v="4"/>
    <n v="5"/>
    <x v="3"/>
  </r>
  <r>
    <x v="2"/>
    <n v="1"/>
    <n v="47"/>
    <n v="5"/>
    <n v="5"/>
    <n v="5"/>
    <n v="5"/>
    <n v="4"/>
    <n v="4"/>
    <n v="5"/>
    <x v="3"/>
  </r>
  <r>
    <x v="0"/>
    <n v="2"/>
    <n v="47"/>
    <n v="4"/>
    <n v="4"/>
    <n v="4"/>
    <n v="5"/>
    <n v="4"/>
    <n v="5"/>
    <n v="5"/>
    <x v="3"/>
  </r>
  <r>
    <x v="2"/>
    <n v="1"/>
    <n v="47"/>
    <n v="3"/>
    <n v="4"/>
    <n v="4"/>
    <n v="3"/>
    <n v="3"/>
    <n v="5"/>
    <n v="3"/>
    <x v="3"/>
  </r>
  <r>
    <x v="0"/>
    <n v="2"/>
    <n v="48"/>
    <n v="4"/>
    <n v="5"/>
    <n v="5"/>
    <n v="5"/>
    <n v="5"/>
    <n v="5"/>
    <n v="4"/>
    <x v="3"/>
  </r>
  <r>
    <x v="2"/>
    <n v="1"/>
    <n v="48"/>
    <n v="4"/>
    <n v="4"/>
    <n v="5"/>
    <n v="4"/>
    <n v="5"/>
    <n v="5"/>
    <n v="5"/>
    <x v="3"/>
  </r>
  <r>
    <x v="1"/>
    <n v="2"/>
    <n v="48"/>
    <n v="5"/>
    <n v="4"/>
    <n v="5"/>
    <n v="5"/>
    <n v="4"/>
    <n v="5"/>
    <n v="5"/>
    <x v="3"/>
  </r>
  <r>
    <x v="4"/>
    <n v="1"/>
    <n v="49"/>
    <n v="3"/>
    <n v="5"/>
    <n v="5"/>
    <n v="3"/>
    <n v="5"/>
    <n v="2"/>
    <n v="5"/>
    <x v="3"/>
  </r>
  <r>
    <x v="4"/>
    <n v="2"/>
    <n v="51"/>
    <n v="5"/>
    <n v="4"/>
    <n v="4"/>
    <n v="5"/>
    <n v="4"/>
    <n v="4"/>
    <n v="5"/>
    <x v="3"/>
  </r>
  <r>
    <x v="2"/>
    <n v="2"/>
    <n v="51"/>
    <n v="5"/>
    <n v="4"/>
    <n v="5"/>
    <n v="4"/>
    <n v="4"/>
    <n v="5"/>
    <n v="5"/>
    <x v="3"/>
  </r>
  <r>
    <x v="1"/>
    <n v="1"/>
    <n v="52"/>
    <n v="4"/>
    <n v="5"/>
    <n v="5"/>
    <n v="5"/>
    <n v="5"/>
    <n v="5"/>
    <n v="5"/>
    <x v="3"/>
  </r>
  <r>
    <x v="0"/>
    <n v="1"/>
    <n v="52"/>
    <n v="3"/>
    <n v="3"/>
    <n v="4"/>
    <n v="4"/>
    <n v="4"/>
    <n v="4"/>
    <n v="4"/>
    <x v="3"/>
  </r>
  <r>
    <x v="4"/>
    <n v="2"/>
    <n v="54"/>
    <n v="5"/>
    <n v="4"/>
    <n v="5"/>
    <n v="2"/>
    <n v="5"/>
    <n v="3"/>
    <n v="4"/>
    <x v="3"/>
  </r>
  <r>
    <x v="4"/>
    <n v="2"/>
    <n v="55"/>
    <n v="3"/>
    <n v="4"/>
    <n v="1"/>
    <n v="3"/>
    <n v="4"/>
    <n v="5"/>
    <n v="4"/>
    <x v="3"/>
  </r>
  <r>
    <x v="4"/>
    <n v="1"/>
    <n v="56"/>
    <n v="5"/>
    <n v="4"/>
    <n v="5"/>
    <n v="4"/>
    <n v="5"/>
    <n v="4"/>
    <n v="5"/>
    <x v="3"/>
  </r>
  <r>
    <x v="3"/>
    <n v="1"/>
    <n v="61"/>
    <n v="5"/>
    <n v="4"/>
    <n v="5"/>
    <n v="5"/>
    <n v="3"/>
    <n v="4"/>
    <n v="5"/>
    <x v="3"/>
  </r>
  <r>
    <x v="3"/>
    <n v="2"/>
    <n v="61"/>
    <n v="5"/>
    <n v="4"/>
    <n v="3"/>
    <n v="3"/>
    <n v="4"/>
    <n v="5"/>
    <n v="5"/>
    <x v="3"/>
  </r>
  <r>
    <x v="1"/>
    <n v="1"/>
    <n v="62"/>
    <n v="5"/>
    <n v="4"/>
    <n v="4"/>
    <n v="5"/>
    <n v="4"/>
    <n v="5"/>
    <n v="5"/>
    <x v="3"/>
  </r>
  <r>
    <x v="4"/>
    <n v="1"/>
    <n v="63"/>
    <n v="5"/>
    <n v="5"/>
    <n v="5"/>
    <n v="5"/>
    <n v="5"/>
    <n v="2"/>
    <n v="9"/>
    <x v="3"/>
  </r>
  <r>
    <x v="2"/>
    <n v="2"/>
    <n v="64"/>
    <n v="4"/>
    <n v="1"/>
    <n v="1"/>
    <n v="3"/>
    <n v="5"/>
    <n v="3"/>
    <n v="5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2"/>
    <n v="18"/>
    <n v="4"/>
    <n v="5"/>
    <n v="4"/>
    <n v="5"/>
    <n v="4"/>
    <n v="4"/>
    <n v="5"/>
    <x v="0"/>
  </r>
  <r>
    <x v="0"/>
    <n v="1"/>
    <n v="18"/>
    <n v="5"/>
    <n v="4"/>
    <n v="5"/>
    <n v="5"/>
    <n v="5"/>
    <n v="5"/>
    <n v="5"/>
    <x v="0"/>
  </r>
  <r>
    <x v="1"/>
    <n v="2"/>
    <n v="18"/>
    <n v="5"/>
    <n v="3"/>
    <n v="4"/>
    <n v="4"/>
    <n v="4"/>
    <n v="5"/>
    <n v="2"/>
    <x v="0"/>
  </r>
  <r>
    <x v="0"/>
    <n v="1"/>
    <n v="18"/>
    <n v="5"/>
    <n v="4"/>
    <n v="5"/>
    <n v="4"/>
    <n v="5"/>
    <n v="4"/>
    <n v="5"/>
    <x v="0"/>
  </r>
  <r>
    <x v="1"/>
    <n v="1"/>
    <n v="18"/>
    <n v="5"/>
    <n v="2"/>
    <n v="5"/>
    <n v="5"/>
    <n v="5"/>
    <n v="5"/>
    <n v="5"/>
    <x v="0"/>
  </r>
  <r>
    <x v="2"/>
    <n v="1"/>
    <n v="18"/>
    <n v="2"/>
    <n v="4"/>
    <n v="4"/>
    <n v="5"/>
    <n v="4"/>
    <n v="2"/>
    <n v="4"/>
    <x v="0"/>
  </r>
  <r>
    <x v="1"/>
    <n v="1"/>
    <n v="19"/>
    <n v="4"/>
    <n v="4"/>
    <n v="5"/>
    <n v="5"/>
    <n v="5"/>
    <n v="3"/>
    <n v="5"/>
    <x v="0"/>
  </r>
  <r>
    <x v="0"/>
    <n v="2"/>
    <n v="19"/>
    <n v="5"/>
    <n v="4"/>
    <n v="5"/>
    <n v="5"/>
    <n v="5"/>
    <n v="4"/>
    <n v="4"/>
    <x v="0"/>
  </r>
  <r>
    <x v="1"/>
    <n v="2"/>
    <n v="19"/>
    <n v="5"/>
    <n v="4"/>
    <n v="4"/>
    <n v="5"/>
    <n v="4"/>
    <n v="4"/>
    <n v="5"/>
    <x v="0"/>
  </r>
  <r>
    <x v="3"/>
    <n v="1"/>
    <n v="19"/>
    <n v="5"/>
    <n v="4"/>
    <n v="4"/>
    <n v="5"/>
    <n v="5"/>
    <n v="4"/>
    <n v="5"/>
    <x v="0"/>
  </r>
  <r>
    <x v="4"/>
    <n v="2"/>
    <n v="19"/>
    <n v="5"/>
    <n v="5"/>
    <n v="5"/>
    <n v="5"/>
    <n v="5"/>
    <n v="5"/>
    <n v="5"/>
    <x v="0"/>
  </r>
  <r>
    <x v="1"/>
    <n v="1"/>
    <n v="19"/>
    <n v="4"/>
    <n v="3"/>
    <n v="4"/>
    <n v="4"/>
    <n v="5"/>
    <n v="5"/>
    <n v="4"/>
    <x v="0"/>
  </r>
  <r>
    <x v="4"/>
    <n v="2"/>
    <n v="19"/>
    <n v="5"/>
    <n v="9"/>
    <n v="5"/>
    <n v="5"/>
    <n v="3"/>
    <n v="4"/>
    <n v="5"/>
    <x v="0"/>
  </r>
  <r>
    <x v="1"/>
    <n v="2"/>
    <n v="19"/>
    <n v="4"/>
    <n v="3"/>
    <n v="5"/>
    <n v="4"/>
    <n v="4"/>
    <n v="4"/>
    <n v="4"/>
    <x v="0"/>
  </r>
  <r>
    <x v="4"/>
    <n v="1"/>
    <n v="20"/>
    <n v="5"/>
    <n v="3"/>
    <n v="5"/>
    <n v="5"/>
    <n v="4"/>
    <n v="5"/>
    <n v="5"/>
    <x v="0"/>
  </r>
  <r>
    <x v="1"/>
    <n v="1"/>
    <n v="20"/>
    <n v="5"/>
    <n v="5"/>
    <n v="5"/>
    <n v="4"/>
    <n v="5"/>
    <n v="4"/>
    <n v="5"/>
    <x v="0"/>
  </r>
  <r>
    <x v="1"/>
    <n v="1"/>
    <n v="20"/>
    <n v="5"/>
    <n v="4"/>
    <n v="4"/>
    <n v="4"/>
    <n v="4"/>
    <n v="4"/>
    <n v="5"/>
    <x v="0"/>
  </r>
  <r>
    <x v="4"/>
    <n v="2"/>
    <n v="20"/>
    <n v="5"/>
    <n v="4"/>
    <n v="3"/>
    <n v="5"/>
    <n v="2"/>
    <n v="5"/>
    <n v="4"/>
    <x v="0"/>
  </r>
  <r>
    <x v="1"/>
    <n v="1"/>
    <n v="21"/>
    <n v="5"/>
    <n v="4"/>
    <n v="5"/>
    <n v="5"/>
    <n v="4"/>
    <n v="1"/>
    <n v="5"/>
    <x v="0"/>
  </r>
  <r>
    <x v="2"/>
    <n v="2"/>
    <n v="22"/>
    <n v="5"/>
    <n v="5"/>
    <n v="5"/>
    <n v="5"/>
    <n v="5"/>
    <n v="4"/>
    <n v="5"/>
    <x v="1"/>
  </r>
  <r>
    <x v="2"/>
    <n v="1"/>
    <n v="22"/>
    <n v="1"/>
    <n v="3"/>
    <n v="5"/>
    <n v="4"/>
    <n v="5"/>
    <n v="1"/>
    <n v="4"/>
    <x v="1"/>
  </r>
  <r>
    <x v="4"/>
    <n v="2"/>
    <n v="22"/>
    <n v="5"/>
    <n v="1"/>
    <n v="5"/>
    <n v="5"/>
    <n v="5"/>
    <n v="5"/>
    <n v="5"/>
    <x v="1"/>
  </r>
  <r>
    <x v="4"/>
    <n v="1"/>
    <n v="23"/>
    <n v="5"/>
    <n v="5"/>
    <n v="5"/>
    <n v="5"/>
    <n v="5"/>
    <n v="5"/>
    <n v="5"/>
    <x v="1"/>
  </r>
  <r>
    <x v="1"/>
    <n v="1"/>
    <n v="23"/>
    <n v="5"/>
    <n v="5"/>
    <n v="5"/>
    <n v="5"/>
    <n v="4"/>
    <n v="4"/>
    <n v="4"/>
    <x v="1"/>
  </r>
  <r>
    <x v="4"/>
    <n v="1"/>
    <n v="24"/>
    <n v="5"/>
    <n v="4"/>
    <n v="5"/>
    <n v="4"/>
    <n v="4"/>
    <n v="5"/>
    <n v="4"/>
    <x v="1"/>
  </r>
  <r>
    <x v="0"/>
    <n v="1"/>
    <n v="25"/>
    <n v="5"/>
    <n v="4"/>
    <n v="5"/>
    <n v="4"/>
    <n v="5"/>
    <n v="4"/>
    <n v="5"/>
    <x v="1"/>
  </r>
  <r>
    <x v="1"/>
    <n v="1"/>
    <n v="25"/>
    <n v="4"/>
    <n v="5"/>
    <n v="5"/>
    <n v="5"/>
    <n v="4"/>
    <n v="3"/>
    <n v="4"/>
    <x v="1"/>
  </r>
  <r>
    <x v="0"/>
    <n v="2"/>
    <n v="26"/>
    <n v="5"/>
    <n v="4"/>
    <n v="4"/>
    <n v="5"/>
    <n v="4"/>
    <n v="4"/>
    <n v="5"/>
    <x v="2"/>
  </r>
  <r>
    <x v="1"/>
    <n v="2"/>
    <n v="26"/>
    <n v="5"/>
    <n v="4"/>
    <n v="5"/>
    <n v="4"/>
    <n v="5"/>
    <n v="5"/>
    <n v="5"/>
    <x v="2"/>
  </r>
  <r>
    <x v="4"/>
    <n v="2"/>
    <n v="26"/>
    <n v="4"/>
    <n v="3"/>
    <n v="5"/>
    <n v="3"/>
    <n v="4"/>
    <n v="4"/>
    <n v="3"/>
    <x v="2"/>
  </r>
  <r>
    <x v="2"/>
    <n v="1"/>
    <n v="26"/>
    <n v="5"/>
    <n v="4"/>
    <n v="5"/>
    <n v="4"/>
    <n v="5"/>
    <n v="1"/>
    <n v="5"/>
    <x v="2"/>
  </r>
  <r>
    <x v="4"/>
    <n v="2"/>
    <n v="26"/>
    <n v="5"/>
    <n v="4"/>
    <n v="5"/>
    <n v="5"/>
    <n v="4"/>
    <n v="4"/>
    <n v="4"/>
    <x v="2"/>
  </r>
  <r>
    <x v="0"/>
    <n v="2"/>
    <n v="26"/>
    <n v="5"/>
    <n v="4"/>
    <n v="5"/>
    <n v="5"/>
    <n v="5"/>
    <n v="4"/>
    <n v="5"/>
    <x v="2"/>
  </r>
  <r>
    <x v="1"/>
    <n v="2"/>
    <n v="26"/>
    <n v="5"/>
    <n v="4"/>
    <n v="4"/>
    <n v="5"/>
    <n v="4"/>
    <n v="4"/>
    <n v="5"/>
    <x v="2"/>
  </r>
  <r>
    <x v="1"/>
    <n v="2"/>
    <n v="27"/>
    <n v="5"/>
    <n v="4"/>
    <n v="4"/>
    <n v="4"/>
    <n v="4"/>
    <n v="4"/>
    <n v="5"/>
    <x v="2"/>
  </r>
  <r>
    <x v="0"/>
    <n v="1"/>
    <n v="27"/>
    <n v="4"/>
    <n v="5"/>
    <n v="4"/>
    <n v="4"/>
    <n v="4"/>
    <n v="4"/>
    <n v="5"/>
    <x v="2"/>
  </r>
  <r>
    <x v="4"/>
    <n v="1"/>
    <n v="28"/>
    <n v="5"/>
    <n v="4"/>
    <n v="5"/>
    <n v="5"/>
    <n v="4"/>
    <n v="5"/>
    <n v="5"/>
    <x v="2"/>
  </r>
  <r>
    <x v="2"/>
    <n v="1"/>
    <n v="28"/>
    <n v="5"/>
    <n v="3"/>
    <n v="5"/>
    <n v="4"/>
    <n v="4"/>
    <n v="4"/>
    <n v="5"/>
    <x v="2"/>
  </r>
  <r>
    <x v="0"/>
    <n v="2"/>
    <n v="29"/>
    <n v="5"/>
    <n v="3"/>
    <n v="4"/>
    <n v="4"/>
    <n v="4"/>
    <n v="1"/>
    <n v="5"/>
    <x v="2"/>
  </r>
  <r>
    <x v="0"/>
    <n v="2"/>
    <n v="29"/>
    <n v="5"/>
    <n v="5"/>
    <n v="5"/>
    <n v="3"/>
    <n v="5"/>
    <n v="5"/>
    <n v="4"/>
    <x v="2"/>
  </r>
  <r>
    <x v="1"/>
    <n v="1"/>
    <n v="29"/>
    <n v="5"/>
    <n v="3"/>
    <n v="5"/>
    <n v="5"/>
    <n v="4"/>
    <n v="2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DE877-3D2B-ED45-9BEC-4317AFBF4611}" name="Сводная таблица1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rowHeaderCaption="Age group" colHeaderCaption="">
  <location ref="A3:G9" firstHeaderRow="1" firstDataRow="2" firstDataCol="1"/>
  <pivotFields count="11">
    <pivotField axis="axisCol" dataField="1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n="Others"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ain bank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8BFD3-2ED4-8644-9DEC-DE0D8E74065C}" name="Сводная таблица3" cacheId="2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rowHeaderCaption="Main bank" colHeaderCaption="">
  <location ref="A3:E10" firstHeaderRow="1" firstDataRow="2" firstDataCol="1"/>
  <pivotFields count="11"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A trustworthy compan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3708A-9673-E342-B5B7-C9B91476A6C2}" name="Сводная таблица4" cacheId="2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rowHeaderCaption="Age group">
  <location ref="A3:E7" firstHeaderRow="0" firstDataRow="1" firstDataCol="1"/>
  <pivotFields count="11"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Service quality" fld="5" subtotal="average" baseField="0" baseItem="0"/>
    <dataField name="Average Ease and speed of processing  credit products" fld="7" subtotal="average" baseField="0" baseItem="0"/>
    <dataField name="Average A trustworthy company" fld="9" subtotal="average" baseField="0" baseItem="0"/>
    <dataField name="Average A progressive and modern company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3"/>
  <sheetViews>
    <sheetView tabSelected="1" workbookViewId="0">
      <selection activeCell="Q19" sqref="Q19"/>
    </sheetView>
  </sheetViews>
  <sheetFormatPr baseColWidth="10" defaultColWidth="8.83203125" defaultRowHeight="15" x14ac:dyDescent="0.2"/>
  <cols>
    <col min="1" max="1" width="14.33203125" customWidth="1"/>
    <col min="2" max="3" width="7.6640625" customWidth="1"/>
    <col min="4" max="6" width="13.33203125" customWidth="1"/>
    <col min="7" max="7" width="17.83203125" customWidth="1"/>
    <col min="8" max="10" width="13.33203125" customWidth="1"/>
    <col min="11" max="11" width="14.33203125" customWidth="1"/>
  </cols>
  <sheetData>
    <row r="1" spans="1:11" ht="72.5" customHeight="1" x14ac:dyDescent="0.2">
      <c r="A1" s="1" t="s">
        <v>11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13</v>
      </c>
      <c r="H1" s="1" t="s">
        <v>14</v>
      </c>
      <c r="I1" s="1" t="s">
        <v>12</v>
      </c>
      <c r="J1" s="1" t="s">
        <v>10</v>
      </c>
      <c r="K1" s="1" t="s">
        <v>15</v>
      </c>
    </row>
    <row r="2" spans="1:11" x14ac:dyDescent="0.2">
      <c r="A2" s="3" t="s">
        <v>2</v>
      </c>
      <c r="B2" s="2">
        <v>2</v>
      </c>
      <c r="C2" s="2">
        <v>18</v>
      </c>
      <c r="D2" s="2">
        <v>4</v>
      </c>
      <c r="E2" s="2">
        <v>5</v>
      </c>
      <c r="F2" s="2">
        <v>4</v>
      </c>
      <c r="G2" s="2">
        <v>5</v>
      </c>
      <c r="H2" s="2">
        <v>4</v>
      </c>
      <c r="I2" s="2">
        <v>4</v>
      </c>
      <c r="J2" s="2">
        <v>5</v>
      </c>
      <c r="K2" s="2" t="str">
        <f>IF(AND(C2&gt;=18,C2&lt;=21),"18–21",IF(AND(C2&gt;=22,C2&lt;=25),"22–25",IF(AND(C2&gt;=26,C2&lt;=30),"26–30","Others")))</f>
        <v>18–21</v>
      </c>
    </row>
    <row r="3" spans="1:11" x14ac:dyDescent="0.2">
      <c r="A3" s="3" t="s">
        <v>2</v>
      </c>
      <c r="B3" s="2">
        <v>1</v>
      </c>
      <c r="C3" s="2">
        <v>18</v>
      </c>
      <c r="D3" s="2">
        <v>5</v>
      </c>
      <c r="E3" s="2">
        <v>4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 t="str">
        <f t="shared" ref="K3:K42" si="0">IF(AND(C3&gt;=18,C3&lt;=21),"18–21",IF(AND(C3&gt;=22,C3&lt;=25),"22–25",IF(AND(C3&gt;=26,C3&lt;=30),"26–30","Others")))</f>
        <v>18–21</v>
      </c>
    </row>
    <row r="4" spans="1:11" x14ac:dyDescent="0.2">
      <c r="A4" s="3" t="s">
        <v>6</v>
      </c>
      <c r="B4" s="2">
        <v>2</v>
      </c>
      <c r="C4" s="2">
        <v>18</v>
      </c>
      <c r="D4" s="2">
        <v>5</v>
      </c>
      <c r="E4" s="2">
        <v>3</v>
      </c>
      <c r="F4" s="2">
        <v>4</v>
      </c>
      <c r="G4" s="2">
        <v>4</v>
      </c>
      <c r="H4" s="2">
        <v>4</v>
      </c>
      <c r="I4" s="2">
        <v>5</v>
      </c>
      <c r="J4" s="2">
        <v>2</v>
      </c>
      <c r="K4" s="2" t="str">
        <f t="shared" si="0"/>
        <v>18–21</v>
      </c>
    </row>
    <row r="5" spans="1:11" x14ac:dyDescent="0.2">
      <c r="A5" s="3" t="s">
        <v>2</v>
      </c>
      <c r="B5" s="2">
        <v>1</v>
      </c>
      <c r="C5" s="2">
        <v>18</v>
      </c>
      <c r="D5" s="2">
        <v>5</v>
      </c>
      <c r="E5" s="2">
        <v>4</v>
      </c>
      <c r="F5" s="2">
        <v>5</v>
      </c>
      <c r="G5" s="2">
        <v>4</v>
      </c>
      <c r="H5" s="2">
        <v>5</v>
      </c>
      <c r="I5" s="2">
        <v>4</v>
      </c>
      <c r="J5" s="2">
        <v>5</v>
      </c>
      <c r="K5" s="2" t="str">
        <f t="shared" si="0"/>
        <v>18–21</v>
      </c>
    </row>
    <row r="6" spans="1:11" x14ac:dyDescent="0.2">
      <c r="A6" s="3" t="s">
        <v>6</v>
      </c>
      <c r="B6" s="2">
        <v>1</v>
      </c>
      <c r="C6" s="2">
        <v>18</v>
      </c>
      <c r="D6" s="2">
        <v>5</v>
      </c>
      <c r="E6" s="2">
        <v>2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 t="str">
        <f t="shared" si="0"/>
        <v>18–21</v>
      </c>
    </row>
    <row r="7" spans="1:11" x14ac:dyDescent="0.2">
      <c r="A7" s="3" t="s">
        <v>4</v>
      </c>
      <c r="B7" s="2">
        <v>1</v>
      </c>
      <c r="C7" s="2">
        <v>18</v>
      </c>
      <c r="D7" s="2">
        <v>2</v>
      </c>
      <c r="E7" s="2">
        <v>4</v>
      </c>
      <c r="F7" s="2">
        <v>4</v>
      </c>
      <c r="G7" s="2">
        <v>5</v>
      </c>
      <c r="H7" s="2">
        <v>4</v>
      </c>
      <c r="I7" s="2">
        <v>2</v>
      </c>
      <c r="J7" s="2">
        <v>4</v>
      </c>
      <c r="K7" s="2" t="str">
        <f t="shared" si="0"/>
        <v>18–21</v>
      </c>
    </row>
    <row r="8" spans="1:11" x14ac:dyDescent="0.2">
      <c r="A8" s="3" t="s">
        <v>6</v>
      </c>
      <c r="B8" s="2">
        <v>1</v>
      </c>
      <c r="C8" s="2">
        <v>19</v>
      </c>
      <c r="D8" s="2">
        <v>4</v>
      </c>
      <c r="E8" s="2">
        <v>4</v>
      </c>
      <c r="F8" s="2">
        <v>5</v>
      </c>
      <c r="G8" s="2">
        <v>5</v>
      </c>
      <c r="H8" s="2">
        <v>5</v>
      </c>
      <c r="I8" s="2">
        <v>3</v>
      </c>
      <c r="J8" s="2">
        <v>5</v>
      </c>
      <c r="K8" s="2" t="str">
        <f t="shared" si="0"/>
        <v>18–21</v>
      </c>
    </row>
    <row r="9" spans="1:11" x14ac:dyDescent="0.2">
      <c r="A9" s="3" t="s">
        <v>2</v>
      </c>
      <c r="B9" s="2">
        <v>2</v>
      </c>
      <c r="C9" s="2">
        <v>19</v>
      </c>
      <c r="D9" s="2">
        <v>5</v>
      </c>
      <c r="E9" s="2">
        <v>4</v>
      </c>
      <c r="F9" s="2">
        <v>5</v>
      </c>
      <c r="G9" s="2">
        <v>5</v>
      </c>
      <c r="H9" s="2">
        <v>5</v>
      </c>
      <c r="I9" s="2">
        <v>4</v>
      </c>
      <c r="J9" s="2">
        <v>4</v>
      </c>
      <c r="K9" s="2" t="str">
        <f t="shared" si="0"/>
        <v>18–21</v>
      </c>
    </row>
    <row r="10" spans="1:11" x14ac:dyDescent="0.2">
      <c r="A10" s="3" t="s">
        <v>6</v>
      </c>
      <c r="B10" s="2">
        <v>2</v>
      </c>
      <c r="C10" s="2">
        <v>19</v>
      </c>
      <c r="D10" s="2">
        <v>5</v>
      </c>
      <c r="E10" s="2">
        <v>4</v>
      </c>
      <c r="F10" s="2">
        <v>4</v>
      </c>
      <c r="G10" s="2">
        <v>5</v>
      </c>
      <c r="H10" s="2">
        <v>4</v>
      </c>
      <c r="I10" s="2">
        <v>4</v>
      </c>
      <c r="J10" s="2">
        <v>5</v>
      </c>
      <c r="K10" s="2" t="str">
        <f t="shared" si="0"/>
        <v>18–21</v>
      </c>
    </row>
    <row r="11" spans="1:11" x14ac:dyDescent="0.2">
      <c r="A11" s="3" t="s">
        <v>3</v>
      </c>
      <c r="B11" s="2">
        <v>1</v>
      </c>
      <c r="C11" s="2">
        <v>19</v>
      </c>
      <c r="D11" s="2">
        <v>5</v>
      </c>
      <c r="E11" s="2">
        <v>4</v>
      </c>
      <c r="F11" s="2">
        <v>4</v>
      </c>
      <c r="G11" s="2">
        <v>5</v>
      </c>
      <c r="H11" s="2">
        <v>5</v>
      </c>
      <c r="I11" s="2">
        <v>4</v>
      </c>
      <c r="J11" s="2">
        <v>5</v>
      </c>
      <c r="K11" s="2" t="str">
        <f t="shared" si="0"/>
        <v>18–21</v>
      </c>
    </row>
    <row r="12" spans="1:11" x14ac:dyDescent="0.2">
      <c r="A12" s="3" t="s">
        <v>5</v>
      </c>
      <c r="B12" s="2">
        <v>2</v>
      </c>
      <c r="C12" s="2">
        <v>19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 t="str">
        <f t="shared" si="0"/>
        <v>18–21</v>
      </c>
    </row>
    <row r="13" spans="1:11" x14ac:dyDescent="0.2">
      <c r="A13" s="3" t="s">
        <v>6</v>
      </c>
      <c r="B13" s="2">
        <v>1</v>
      </c>
      <c r="C13" s="2">
        <v>19</v>
      </c>
      <c r="D13" s="2">
        <v>4</v>
      </c>
      <c r="E13" s="2">
        <v>3</v>
      </c>
      <c r="F13" s="2">
        <v>4</v>
      </c>
      <c r="G13" s="2">
        <v>4</v>
      </c>
      <c r="H13" s="2">
        <v>5</v>
      </c>
      <c r="I13" s="2">
        <v>5</v>
      </c>
      <c r="J13" s="2">
        <v>4</v>
      </c>
      <c r="K13" s="2" t="str">
        <f t="shared" si="0"/>
        <v>18–21</v>
      </c>
    </row>
    <row r="14" spans="1:11" x14ac:dyDescent="0.2">
      <c r="A14" s="3" t="s">
        <v>5</v>
      </c>
      <c r="B14" s="2">
        <v>2</v>
      </c>
      <c r="C14" s="2">
        <v>19</v>
      </c>
      <c r="D14" s="2">
        <v>5</v>
      </c>
      <c r="E14" s="2">
        <v>9</v>
      </c>
      <c r="F14" s="2">
        <v>5</v>
      </c>
      <c r="G14" s="2">
        <v>5</v>
      </c>
      <c r="H14" s="2">
        <v>3</v>
      </c>
      <c r="I14" s="2">
        <v>4</v>
      </c>
      <c r="J14" s="2">
        <v>5</v>
      </c>
      <c r="K14" s="2" t="str">
        <f t="shared" si="0"/>
        <v>18–21</v>
      </c>
    </row>
    <row r="15" spans="1:11" x14ac:dyDescent="0.2">
      <c r="A15" s="3" t="s">
        <v>6</v>
      </c>
      <c r="B15" s="2">
        <v>2</v>
      </c>
      <c r="C15" s="2">
        <v>19</v>
      </c>
      <c r="D15" s="2">
        <v>4</v>
      </c>
      <c r="E15" s="2">
        <v>3</v>
      </c>
      <c r="F15" s="2">
        <v>5</v>
      </c>
      <c r="G15" s="2">
        <v>4</v>
      </c>
      <c r="H15" s="2">
        <v>4</v>
      </c>
      <c r="I15" s="2">
        <v>4</v>
      </c>
      <c r="J15" s="2">
        <v>4</v>
      </c>
      <c r="K15" s="2" t="str">
        <f t="shared" si="0"/>
        <v>18–21</v>
      </c>
    </row>
    <row r="16" spans="1:11" x14ac:dyDescent="0.2">
      <c r="A16" s="3" t="s">
        <v>5</v>
      </c>
      <c r="B16" s="2">
        <v>1</v>
      </c>
      <c r="C16" s="2">
        <v>20</v>
      </c>
      <c r="D16" s="2">
        <v>5</v>
      </c>
      <c r="E16" s="2">
        <v>3</v>
      </c>
      <c r="F16" s="2">
        <v>5</v>
      </c>
      <c r="G16" s="2">
        <v>5</v>
      </c>
      <c r="H16" s="2">
        <v>4</v>
      </c>
      <c r="I16" s="2">
        <v>5</v>
      </c>
      <c r="J16" s="2">
        <v>5</v>
      </c>
      <c r="K16" s="2" t="str">
        <f t="shared" si="0"/>
        <v>18–21</v>
      </c>
    </row>
    <row r="17" spans="1:11" x14ac:dyDescent="0.2">
      <c r="A17" s="3" t="s">
        <v>6</v>
      </c>
      <c r="B17" s="2">
        <v>1</v>
      </c>
      <c r="C17" s="2">
        <v>20</v>
      </c>
      <c r="D17" s="2">
        <v>5</v>
      </c>
      <c r="E17" s="2">
        <v>5</v>
      </c>
      <c r="F17" s="2">
        <v>5</v>
      </c>
      <c r="G17" s="2">
        <v>4</v>
      </c>
      <c r="H17" s="2">
        <v>5</v>
      </c>
      <c r="I17" s="2">
        <v>4</v>
      </c>
      <c r="J17" s="2">
        <v>5</v>
      </c>
      <c r="K17" s="2" t="str">
        <f t="shared" si="0"/>
        <v>18–21</v>
      </c>
    </row>
    <row r="18" spans="1:11" x14ac:dyDescent="0.2">
      <c r="A18" s="3" t="s">
        <v>6</v>
      </c>
      <c r="B18" s="2">
        <v>1</v>
      </c>
      <c r="C18" s="2">
        <v>20</v>
      </c>
      <c r="D18" s="2">
        <v>5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5</v>
      </c>
      <c r="K18" s="2" t="str">
        <f t="shared" si="0"/>
        <v>18–21</v>
      </c>
    </row>
    <row r="19" spans="1:11" x14ac:dyDescent="0.2">
      <c r="A19" s="3" t="s">
        <v>5</v>
      </c>
      <c r="B19" s="2">
        <v>2</v>
      </c>
      <c r="C19" s="2">
        <v>20</v>
      </c>
      <c r="D19" s="2">
        <v>5</v>
      </c>
      <c r="E19" s="2">
        <v>4</v>
      </c>
      <c r="F19" s="2">
        <v>3</v>
      </c>
      <c r="G19" s="2">
        <v>5</v>
      </c>
      <c r="H19" s="2">
        <v>2</v>
      </c>
      <c r="I19" s="2">
        <v>5</v>
      </c>
      <c r="J19" s="2">
        <v>4</v>
      </c>
      <c r="K19" s="2" t="str">
        <f t="shared" si="0"/>
        <v>18–21</v>
      </c>
    </row>
    <row r="20" spans="1:11" x14ac:dyDescent="0.2">
      <c r="A20" s="3" t="s">
        <v>6</v>
      </c>
      <c r="B20" s="2">
        <v>1</v>
      </c>
      <c r="C20" s="2">
        <v>21</v>
      </c>
      <c r="D20" s="2">
        <v>5</v>
      </c>
      <c r="E20" s="2">
        <v>4</v>
      </c>
      <c r="F20" s="2">
        <v>5</v>
      </c>
      <c r="G20" s="2">
        <v>5</v>
      </c>
      <c r="H20" s="2">
        <v>4</v>
      </c>
      <c r="I20" s="2">
        <v>1</v>
      </c>
      <c r="J20" s="2">
        <v>5</v>
      </c>
      <c r="K20" s="2" t="str">
        <f t="shared" si="0"/>
        <v>18–21</v>
      </c>
    </row>
    <row r="21" spans="1:11" x14ac:dyDescent="0.2">
      <c r="A21" s="3" t="s">
        <v>4</v>
      </c>
      <c r="B21" s="2">
        <v>2</v>
      </c>
      <c r="C21" s="2">
        <v>22</v>
      </c>
      <c r="D21" s="2">
        <v>5</v>
      </c>
      <c r="E21" s="2">
        <v>5</v>
      </c>
      <c r="F21" s="2">
        <v>5</v>
      </c>
      <c r="G21" s="2">
        <v>5</v>
      </c>
      <c r="H21" s="2">
        <v>5</v>
      </c>
      <c r="I21" s="2">
        <v>4</v>
      </c>
      <c r="J21" s="2">
        <v>5</v>
      </c>
      <c r="K21" s="2" t="str">
        <f t="shared" si="0"/>
        <v>22–25</v>
      </c>
    </row>
    <row r="22" spans="1:11" x14ac:dyDescent="0.2">
      <c r="A22" s="3" t="s">
        <v>4</v>
      </c>
      <c r="B22" s="2">
        <v>1</v>
      </c>
      <c r="C22" s="2">
        <v>22</v>
      </c>
      <c r="D22" s="2">
        <v>1</v>
      </c>
      <c r="E22" s="2">
        <v>3</v>
      </c>
      <c r="F22" s="2">
        <v>5</v>
      </c>
      <c r="G22" s="2">
        <v>4</v>
      </c>
      <c r="H22" s="2">
        <v>5</v>
      </c>
      <c r="I22" s="2">
        <v>1</v>
      </c>
      <c r="J22" s="2">
        <v>4</v>
      </c>
      <c r="K22" s="2" t="str">
        <f t="shared" si="0"/>
        <v>22–25</v>
      </c>
    </row>
    <row r="23" spans="1:11" x14ac:dyDescent="0.2">
      <c r="A23" s="3" t="s">
        <v>5</v>
      </c>
      <c r="B23" s="2">
        <v>2</v>
      </c>
      <c r="C23" s="2">
        <v>22</v>
      </c>
      <c r="D23" s="2">
        <v>5</v>
      </c>
      <c r="E23" s="2">
        <v>1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 t="str">
        <f t="shared" si="0"/>
        <v>22–25</v>
      </c>
    </row>
    <row r="24" spans="1:11" x14ac:dyDescent="0.2">
      <c r="A24" s="3" t="s">
        <v>5</v>
      </c>
      <c r="B24" s="2">
        <v>1</v>
      </c>
      <c r="C24" s="2">
        <v>23</v>
      </c>
      <c r="D24" s="2">
        <v>5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 t="str">
        <f t="shared" si="0"/>
        <v>22–25</v>
      </c>
    </row>
    <row r="25" spans="1:11" x14ac:dyDescent="0.2">
      <c r="A25" s="3" t="s">
        <v>6</v>
      </c>
      <c r="B25" s="2">
        <v>1</v>
      </c>
      <c r="C25" s="2">
        <v>23</v>
      </c>
      <c r="D25" s="2">
        <v>5</v>
      </c>
      <c r="E25" s="2">
        <v>5</v>
      </c>
      <c r="F25" s="2">
        <v>5</v>
      </c>
      <c r="G25" s="2">
        <v>5</v>
      </c>
      <c r="H25" s="2">
        <v>4</v>
      </c>
      <c r="I25" s="2">
        <v>4</v>
      </c>
      <c r="J25" s="2">
        <v>4</v>
      </c>
      <c r="K25" s="2" t="str">
        <f t="shared" si="0"/>
        <v>22–25</v>
      </c>
    </row>
    <row r="26" spans="1:11" x14ac:dyDescent="0.2">
      <c r="A26" s="3" t="s">
        <v>5</v>
      </c>
      <c r="B26" s="2">
        <v>1</v>
      </c>
      <c r="C26" s="2">
        <v>24</v>
      </c>
      <c r="D26" s="2">
        <v>5</v>
      </c>
      <c r="E26" s="2">
        <v>4</v>
      </c>
      <c r="F26" s="2">
        <v>5</v>
      </c>
      <c r="G26" s="2">
        <v>4</v>
      </c>
      <c r="H26" s="2">
        <v>4</v>
      </c>
      <c r="I26" s="2">
        <v>5</v>
      </c>
      <c r="J26" s="2">
        <v>4</v>
      </c>
      <c r="K26" s="2" t="str">
        <f t="shared" si="0"/>
        <v>22–25</v>
      </c>
    </row>
    <row r="27" spans="1:11" x14ac:dyDescent="0.2">
      <c r="A27" s="3" t="s">
        <v>2</v>
      </c>
      <c r="B27" s="2">
        <v>1</v>
      </c>
      <c r="C27" s="2">
        <v>25</v>
      </c>
      <c r="D27" s="2">
        <v>5</v>
      </c>
      <c r="E27" s="2">
        <v>4</v>
      </c>
      <c r="F27" s="2">
        <v>5</v>
      </c>
      <c r="G27" s="2">
        <v>4</v>
      </c>
      <c r="H27" s="2">
        <v>5</v>
      </c>
      <c r="I27" s="2">
        <v>4</v>
      </c>
      <c r="J27" s="2">
        <v>5</v>
      </c>
      <c r="K27" s="2" t="str">
        <f t="shared" si="0"/>
        <v>22–25</v>
      </c>
    </row>
    <row r="28" spans="1:11" x14ac:dyDescent="0.2">
      <c r="A28" s="3" t="s">
        <v>6</v>
      </c>
      <c r="B28" s="2">
        <v>1</v>
      </c>
      <c r="C28" s="2">
        <v>25</v>
      </c>
      <c r="D28" s="2">
        <v>4</v>
      </c>
      <c r="E28" s="2">
        <v>5</v>
      </c>
      <c r="F28" s="2">
        <v>5</v>
      </c>
      <c r="G28" s="2">
        <v>5</v>
      </c>
      <c r="H28" s="2">
        <v>4</v>
      </c>
      <c r="I28" s="2">
        <v>3</v>
      </c>
      <c r="J28" s="2">
        <v>4</v>
      </c>
      <c r="K28" s="2" t="str">
        <f t="shared" si="0"/>
        <v>22–25</v>
      </c>
    </row>
    <row r="29" spans="1:11" x14ac:dyDescent="0.2">
      <c r="A29" s="3" t="s">
        <v>2</v>
      </c>
      <c r="B29" s="2">
        <v>2</v>
      </c>
      <c r="C29" s="2">
        <v>26</v>
      </c>
      <c r="D29" s="2">
        <v>5</v>
      </c>
      <c r="E29" s="2">
        <v>4</v>
      </c>
      <c r="F29" s="2">
        <v>4</v>
      </c>
      <c r="G29" s="2">
        <v>5</v>
      </c>
      <c r="H29" s="2">
        <v>4</v>
      </c>
      <c r="I29" s="2">
        <v>4</v>
      </c>
      <c r="J29" s="2">
        <v>5</v>
      </c>
      <c r="K29" s="2" t="str">
        <f t="shared" si="0"/>
        <v>26–30</v>
      </c>
    </row>
    <row r="30" spans="1:11" x14ac:dyDescent="0.2">
      <c r="A30" s="3" t="s">
        <v>6</v>
      </c>
      <c r="B30" s="2">
        <v>2</v>
      </c>
      <c r="C30" s="2">
        <v>26</v>
      </c>
      <c r="D30" s="2">
        <v>5</v>
      </c>
      <c r="E30" s="2">
        <v>4</v>
      </c>
      <c r="F30" s="2">
        <v>5</v>
      </c>
      <c r="G30" s="2">
        <v>4</v>
      </c>
      <c r="H30" s="2">
        <v>5</v>
      </c>
      <c r="I30" s="2">
        <v>5</v>
      </c>
      <c r="J30" s="2">
        <v>5</v>
      </c>
      <c r="K30" s="2" t="str">
        <f t="shared" si="0"/>
        <v>26–30</v>
      </c>
    </row>
    <row r="31" spans="1:11" x14ac:dyDescent="0.2">
      <c r="A31" s="3" t="s">
        <v>5</v>
      </c>
      <c r="B31" s="2">
        <v>2</v>
      </c>
      <c r="C31" s="2">
        <v>26</v>
      </c>
      <c r="D31" s="2">
        <v>4</v>
      </c>
      <c r="E31" s="2">
        <v>3</v>
      </c>
      <c r="F31" s="2">
        <v>5</v>
      </c>
      <c r="G31" s="2">
        <v>3</v>
      </c>
      <c r="H31" s="2">
        <v>4</v>
      </c>
      <c r="I31" s="2">
        <v>4</v>
      </c>
      <c r="J31" s="2">
        <v>3</v>
      </c>
      <c r="K31" s="2" t="str">
        <f t="shared" si="0"/>
        <v>26–30</v>
      </c>
    </row>
    <row r="32" spans="1:11" x14ac:dyDescent="0.2">
      <c r="A32" s="3" t="s">
        <v>4</v>
      </c>
      <c r="B32" s="2">
        <v>1</v>
      </c>
      <c r="C32" s="2">
        <v>26</v>
      </c>
      <c r="D32" s="2">
        <v>5</v>
      </c>
      <c r="E32" s="2">
        <v>4</v>
      </c>
      <c r="F32" s="2">
        <v>5</v>
      </c>
      <c r="G32" s="2">
        <v>4</v>
      </c>
      <c r="H32" s="2">
        <v>5</v>
      </c>
      <c r="I32" s="2">
        <v>1</v>
      </c>
      <c r="J32" s="2">
        <v>5</v>
      </c>
      <c r="K32" s="2" t="str">
        <f t="shared" si="0"/>
        <v>26–30</v>
      </c>
    </row>
    <row r="33" spans="1:11" x14ac:dyDescent="0.2">
      <c r="A33" s="3" t="s">
        <v>5</v>
      </c>
      <c r="B33" s="2">
        <v>2</v>
      </c>
      <c r="C33" s="2">
        <v>26</v>
      </c>
      <c r="D33" s="2">
        <v>5</v>
      </c>
      <c r="E33" s="2">
        <v>4</v>
      </c>
      <c r="F33" s="2">
        <v>5</v>
      </c>
      <c r="G33" s="2">
        <v>5</v>
      </c>
      <c r="H33" s="2">
        <v>4</v>
      </c>
      <c r="I33" s="2">
        <v>4</v>
      </c>
      <c r="J33" s="2">
        <v>4</v>
      </c>
      <c r="K33" s="2" t="str">
        <f t="shared" si="0"/>
        <v>26–30</v>
      </c>
    </row>
    <row r="34" spans="1:11" x14ac:dyDescent="0.2">
      <c r="A34" s="3" t="s">
        <v>2</v>
      </c>
      <c r="B34" s="2">
        <v>2</v>
      </c>
      <c r="C34" s="2">
        <v>26</v>
      </c>
      <c r="D34" s="2">
        <v>5</v>
      </c>
      <c r="E34" s="2">
        <v>4</v>
      </c>
      <c r="F34" s="2">
        <v>5</v>
      </c>
      <c r="G34" s="2">
        <v>5</v>
      </c>
      <c r="H34" s="2">
        <v>5</v>
      </c>
      <c r="I34" s="2">
        <v>4</v>
      </c>
      <c r="J34" s="2">
        <v>5</v>
      </c>
      <c r="K34" s="2" t="str">
        <f t="shared" si="0"/>
        <v>26–30</v>
      </c>
    </row>
    <row r="35" spans="1:11" x14ac:dyDescent="0.2">
      <c r="A35" s="3" t="s">
        <v>6</v>
      </c>
      <c r="B35" s="2">
        <v>2</v>
      </c>
      <c r="C35" s="2">
        <v>26</v>
      </c>
      <c r="D35" s="2">
        <v>5</v>
      </c>
      <c r="E35" s="2">
        <v>4</v>
      </c>
      <c r="F35" s="2">
        <v>4</v>
      </c>
      <c r="G35" s="2">
        <v>5</v>
      </c>
      <c r="H35" s="2">
        <v>4</v>
      </c>
      <c r="I35" s="2">
        <v>4</v>
      </c>
      <c r="J35" s="2">
        <v>5</v>
      </c>
      <c r="K35" s="2" t="str">
        <f t="shared" si="0"/>
        <v>26–30</v>
      </c>
    </row>
    <row r="36" spans="1:11" x14ac:dyDescent="0.2">
      <c r="A36" s="3" t="s">
        <v>6</v>
      </c>
      <c r="B36" s="2">
        <v>2</v>
      </c>
      <c r="C36" s="2">
        <v>27</v>
      </c>
      <c r="D36" s="2">
        <v>5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5</v>
      </c>
      <c r="K36" s="2" t="str">
        <f t="shared" si="0"/>
        <v>26–30</v>
      </c>
    </row>
    <row r="37" spans="1:11" x14ac:dyDescent="0.2">
      <c r="A37" s="3" t="s">
        <v>2</v>
      </c>
      <c r="B37" s="2">
        <v>1</v>
      </c>
      <c r="C37" s="2">
        <v>27</v>
      </c>
      <c r="D37" s="2">
        <v>4</v>
      </c>
      <c r="E37" s="2">
        <v>5</v>
      </c>
      <c r="F37" s="2">
        <v>4</v>
      </c>
      <c r="G37" s="2">
        <v>4</v>
      </c>
      <c r="H37" s="2">
        <v>4</v>
      </c>
      <c r="I37" s="2">
        <v>4</v>
      </c>
      <c r="J37" s="2">
        <v>5</v>
      </c>
      <c r="K37" s="2" t="str">
        <f t="shared" si="0"/>
        <v>26–30</v>
      </c>
    </row>
    <row r="38" spans="1:11" x14ac:dyDescent="0.2">
      <c r="A38" s="3" t="s">
        <v>5</v>
      </c>
      <c r="B38" s="2">
        <v>1</v>
      </c>
      <c r="C38" s="2">
        <v>28</v>
      </c>
      <c r="D38" s="2">
        <v>5</v>
      </c>
      <c r="E38" s="2">
        <v>4</v>
      </c>
      <c r="F38" s="2">
        <v>5</v>
      </c>
      <c r="G38" s="2">
        <v>5</v>
      </c>
      <c r="H38" s="2">
        <v>4</v>
      </c>
      <c r="I38" s="2">
        <v>5</v>
      </c>
      <c r="J38" s="2">
        <v>5</v>
      </c>
      <c r="K38" s="2" t="str">
        <f t="shared" si="0"/>
        <v>26–30</v>
      </c>
    </row>
    <row r="39" spans="1:11" x14ac:dyDescent="0.2">
      <c r="A39" s="3" t="s">
        <v>4</v>
      </c>
      <c r="B39" s="2">
        <v>1</v>
      </c>
      <c r="C39" s="2">
        <v>28</v>
      </c>
      <c r="D39" s="2">
        <v>5</v>
      </c>
      <c r="E39" s="2">
        <v>3</v>
      </c>
      <c r="F39" s="2">
        <v>5</v>
      </c>
      <c r="G39" s="2">
        <v>4</v>
      </c>
      <c r="H39" s="2">
        <v>4</v>
      </c>
      <c r="I39" s="2">
        <v>4</v>
      </c>
      <c r="J39" s="2">
        <v>5</v>
      </c>
      <c r="K39" s="2" t="str">
        <f t="shared" si="0"/>
        <v>26–30</v>
      </c>
    </row>
    <row r="40" spans="1:11" x14ac:dyDescent="0.2">
      <c r="A40" s="3" t="s">
        <v>2</v>
      </c>
      <c r="B40" s="2">
        <v>2</v>
      </c>
      <c r="C40" s="2">
        <v>29</v>
      </c>
      <c r="D40" s="2">
        <v>5</v>
      </c>
      <c r="E40" s="2">
        <v>3</v>
      </c>
      <c r="F40" s="2">
        <v>4</v>
      </c>
      <c r="G40" s="2">
        <v>4</v>
      </c>
      <c r="H40" s="2">
        <v>4</v>
      </c>
      <c r="I40" s="2">
        <v>1</v>
      </c>
      <c r="J40" s="2">
        <v>5</v>
      </c>
      <c r="K40" s="2" t="str">
        <f t="shared" si="0"/>
        <v>26–30</v>
      </c>
    </row>
    <row r="41" spans="1:11" x14ac:dyDescent="0.2">
      <c r="A41" s="3" t="s">
        <v>2</v>
      </c>
      <c r="B41" s="2">
        <v>2</v>
      </c>
      <c r="C41" s="2">
        <v>29</v>
      </c>
      <c r="D41" s="2">
        <v>5</v>
      </c>
      <c r="E41" s="2">
        <v>5</v>
      </c>
      <c r="F41" s="2">
        <v>5</v>
      </c>
      <c r="G41" s="2">
        <v>3</v>
      </c>
      <c r="H41" s="2">
        <v>5</v>
      </c>
      <c r="I41" s="2">
        <v>5</v>
      </c>
      <c r="J41" s="2">
        <v>4</v>
      </c>
      <c r="K41" s="2" t="str">
        <f t="shared" si="0"/>
        <v>26–30</v>
      </c>
    </row>
    <row r="42" spans="1:11" x14ac:dyDescent="0.2">
      <c r="A42" s="3" t="s">
        <v>6</v>
      </c>
      <c r="B42" s="2">
        <v>1</v>
      </c>
      <c r="C42" s="2">
        <v>29</v>
      </c>
      <c r="D42" s="2">
        <v>5</v>
      </c>
      <c r="E42" s="2">
        <v>3</v>
      </c>
      <c r="F42" s="2">
        <v>5</v>
      </c>
      <c r="G42" s="2">
        <v>5</v>
      </c>
      <c r="H42" s="2">
        <v>4</v>
      </c>
      <c r="I42" s="2">
        <v>2</v>
      </c>
      <c r="J42" s="2">
        <v>5</v>
      </c>
      <c r="K42" s="2" t="str">
        <f t="shared" si="0"/>
        <v>26–30</v>
      </c>
    </row>
    <row r="43" spans="1:11" hidden="1" x14ac:dyDescent="0.2">
      <c r="A43" s="3" t="s">
        <v>3</v>
      </c>
      <c r="B43" s="2">
        <v>2</v>
      </c>
      <c r="C43" s="2">
        <v>31</v>
      </c>
      <c r="D43" s="2">
        <v>5</v>
      </c>
      <c r="E43" s="2">
        <v>5</v>
      </c>
      <c r="F43" s="2">
        <v>5</v>
      </c>
      <c r="G43" s="2">
        <v>5</v>
      </c>
      <c r="H43" s="2">
        <v>4</v>
      </c>
      <c r="I43" s="2">
        <v>4</v>
      </c>
      <c r="J43" s="2">
        <v>5</v>
      </c>
      <c r="K43" s="2" t="str">
        <f t="shared" ref="K3:K66" si="1">IF(AND(C43&gt;=18,C43&lt;=21),"18–21",IF(AND(C43&gt;=22,C43&lt;=25),"22–25",IF(AND(C43&gt;=26,C43&lt;=30),"26–30","не ЦА")))</f>
        <v>не ЦА</v>
      </c>
    </row>
    <row r="44" spans="1:11" hidden="1" x14ac:dyDescent="0.2">
      <c r="A44" s="3" t="s">
        <v>2</v>
      </c>
      <c r="B44" s="2">
        <v>2</v>
      </c>
      <c r="C44" s="2">
        <v>31</v>
      </c>
      <c r="D44" s="2">
        <v>4</v>
      </c>
      <c r="E44" s="2">
        <v>3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 t="str">
        <f t="shared" si="1"/>
        <v>не ЦА</v>
      </c>
    </row>
    <row r="45" spans="1:11" hidden="1" x14ac:dyDescent="0.2">
      <c r="A45" s="3" t="s">
        <v>3</v>
      </c>
      <c r="B45" s="2">
        <v>1</v>
      </c>
      <c r="C45" s="2">
        <v>32</v>
      </c>
      <c r="D45" s="2">
        <v>4</v>
      </c>
      <c r="E45" s="2">
        <v>5</v>
      </c>
      <c r="F45" s="2">
        <v>5</v>
      </c>
      <c r="G45" s="2">
        <v>5</v>
      </c>
      <c r="H45" s="2">
        <v>4</v>
      </c>
      <c r="I45" s="2">
        <v>5</v>
      </c>
      <c r="J45" s="2">
        <v>4</v>
      </c>
      <c r="K45" s="2" t="str">
        <f t="shared" si="1"/>
        <v>не ЦА</v>
      </c>
    </row>
    <row r="46" spans="1:11" hidden="1" x14ac:dyDescent="0.2">
      <c r="A46" s="3" t="s">
        <v>4</v>
      </c>
      <c r="B46" s="2">
        <v>2</v>
      </c>
      <c r="C46" s="2">
        <v>33</v>
      </c>
      <c r="D46" s="2">
        <v>5</v>
      </c>
      <c r="E46" s="2">
        <v>5</v>
      </c>
      <c r="F46" s="2">
        <v>5</v>
      </c>
      <c r="G46" s="2">
        <v>4</v>
      </c>
      <c r="H46" s="2">
        <v>4</v>
      </c>
      <c r="I46" s="2">
        <v>5</v>
      </c>
      <c r="J46" s="2">
        <v>4</v>
      </c>
      <c r="K46" s="2" t="str">
        <f t="shared" si="1"/>
        <v>не ЦА</v>
      </c>
    </row>
    <row r="47" spans="1:11" hidden="1" x14ac:dyDescent="0.2">
      <c r="A47" s="3" t="s">
        <v>6</v>
      </c>
      <c r="B47" s="2">
        <v>2</v>
      </c>
      <c r="C47" s="2">
        <v>33</v>
      </c>
      <c r="D47" s="2">
        <v>5</v>
      </c>
      <c r="E47" s="2">
        <v>4</v>
      </c>
      <c r="F47" s="2">
        <v>4</v>
      </c>
      <c r="G47" s="2">
        <v>4</v>
      </c>
      <c r="H47" s="2">
        <v>3</v>
      </c>
      <c r="I47" s="2">
        <v>5</v>
      </c>
      <c r="J47" s="2">
        <v>5</v>
      </c>
      <c r="K47" s="2" t="str">
        <f t="shared" si="1"/>
        <v>не ЦА</v>
      </c>
    </row>
    <row r="48" spans="1:11" hidden="1" x14ac:dyDescent="0.2">
      <c r="A48" s="3" t="s">
        <v>5</v>
      </c>
      <c r="B48" s="2">
        <v>1</v>
      </c>
      <c r="C48" s="2">
        <v>33</v>
      </c>
      <c r="D48" s="2">
        <v>5</v>
      </c>
      <c r="E48" s="2">
        <v>3</v>
      </c>
      <c r="F48" s="2">
        <v>4</v>
      </c>
      <c r="G48" s="2">
        <v>3</v>
      </c>
      <c r="H48" s="2">
        <v>4</v>
      </c>
      <c r="I48" s="2">
        <v>4</v>
      </c>
      <c r="J48" s="2">
        <v>4</v>
      </c>
      <c r="K48" s="2" t="str">
        <f t="shared" si="1"/>
        <v>не ЦА</v>
      </c>
    </row>
    <row r="49" spans="1:11" hidden="1" x14ac:dyDescent="0.2">
      <c r="A49" s="3" t="s">
        <v>2</v>
      </c>
      <c r="B49" s="2">
        <v>2</v>
      </c>
      <c r="C49" s="2">
        <v>34</v>
      </c>
      <c r="D49" s="2">
        <v>5</v>
      </c>
      <c r="E49" s="2">
        <v>4</v>
      </c>
      <c r="F49" s="2">
        <v>5</v>
      </c>
      <c r="G49" s="2">
        <v>4</v>
      </c>
      <c r="H49" s="2">
        <v>5</v>
      </c>
      <c r="I49" s="2">
        <v>2</v>
      </c>
      <c r="J49" s="2">
        <v>5</v>
      </c>
      <c r="K49" s="2" t="str">
        <f t="shared" si="1"/>
        <v>не ЦА</v>
      </c>
    </row>
    <row r="50" spans="1:11" hidden="1" x14ac:dyDescent="0.2">
      <c r="A50" s="3" t="s">
        <v>4</v>
      </c>
      <c r="B50" s="2">
        <v>1</v>
      </c>
      <c r="C50" s="2">
        <v>35</v>
      </c>
      <c r="D50" s="2">
        <v>5</v>
      </c>
      <c r="E50" s="2">
        <v>4</v>
      </c>
      <c r="F50" s="2">
        <v>5</v>
      </c>
      <c r="G50" s="2">
        <v>5</v>
      </c>
      <c r="H50" s="2">
        <v>4</v>
      </c>
      <c r="I50" s="2">
        <v>5</v>
      </c>
      <c r="J50" s="2">
        <v>5</v>
      </c>
      <c r="K50" s="2" t="str">
        <f t="shared" si="1"/>
        <v>не ЦА</v>
      </c>
    </row>
    <row r="51" spans="1:11" hidden="1" x14ac:dyDescent="0.2">
      <c r="A51" s="3" t="s">
        <v>3</v>
      </c>
      <c r="B51" s="2">
        <v>2</v>
      </c>
      <c r="C51" s="2">
        <v>36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>
        <v>4</v>
      </c>
      <c r="J51" s="2">
        <v>5</v>
      </c>
      <c r="K51" s="2" t="str">
        <f t="shared" si="1"/>
        <v>не ЦА</v>
      </c>
    </row>
    <row r="52" spans="1:11" hidden="1" x14ac:dyDescent="0.2">
      <c r="A52" s="3" t="s">
        <v>3</v>
      </c>
      <c r="B52" s="2">
        <v>1</v>
      </c>
      <c r="C52" s="2">
        <v>36</v>
      </c>
      <c r="D52" s="2">
        <v>5</v>
      </c>
      <c r="E52" s="2">
        <v>4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s="2" t="str">
        <f t="shared" si="1"/>
        <v>не ЦА</v>
      </c>
    </row>
    <row r="53" spans="1:11" hidden="1" x14ac:dyDescent="0.2">
      <c r="A53" s="3" t="s">
        <v>6</v>
      </c>
      <c r="B53" s="2">
        <v>2</v>
      </c>
      <c r="C53" s="2">
        <v>37</v>
      </c>
      <c r="D53" s="2">
        <v>4</v>
      </c>
      <c r="E53" s="2">
        <v>4</v>
      </c>
      <c r="F53" s="2">
        <v>5</v>
      </c>
      <c r="G53" s="2">
        <v>5</v>
      </c>
      <c r="H53" s="2">
        <v>4</v>
      </c>
      <c r="I53" s="2">
        <v>4</v>
      </c>
      <c r="J53" s="2">
        <v>5</v>
      </c>
      <c r="K53" s="2" t="str">
        <f t="shared" si="1"/>
        <v>не ЦА</v>
      </c>
    </row>
    <row r="54" spans="1:11" hidden="1" x14ac:dyDescent="0.2">
      <c r="A54" s="3" t="s">
        <v>6</v>
      </c>
      <c r="B54" s="2">
        <v>2</v>
      </c>
      <c r="C54" s="2">
        <v>38</v>
      </c>
      <c r="D54" s="2">
        <v>5</v>
      </c>
      <c r="E54" s="2">
        <v>4</v>
      </c>
      <c r="F54" s="2">
        <v>5</v>
      </c>
      <c r="G54" s="2">
        <v>5</v>
      </c>
      <c r="H54" s="2">
        <v>5</v>
      </c>
      <c r="I54" s="2">
        <v>3</v>
      </c>
      <c r="J54" s="2">
        <v>5</v>
      </c>
      <c r="K54" s="2" t="str">
        <f t="shared" si="1"/>
        <v>не ЦА</v>
      </c>
    </row>
    <row r="55" spans="1:11" hidden="1" x14ac:dyDescent="0.2">
      <c r="A55" s="3" t="s">
        <v>4</v>
      </c>
      <c r="B55" s="2">
        <v>2</v>
      </c>
      <c r="C55" s="2">
        <v>38</v>
      </c>
      <c r="D55" s="2">
        <v>4</v>
      </c>
      <c r="E55" s="2">
        <v>5</v>
      </c>
      <c r="F55" s="2">
        <v>5</v>
      </c>
      <c r="G55" s="2">
        <v>4</v>
      </c>
      <c r="H55" s="2">
        <v>4</v>
      </c>
      <c r="I55" s="2">
        <v>4</v>
      </c>
      <c r="J55" s="2">
        <v>4</v>
      </c>
      <c r="K55" s="2" t="str">
        <f t="shared" si="1"/>
        <v>не ЦА</v>
      </c>
    </row>
    <row r="56" spans="1:11" hidden="1" x14ac:dyDescent="0.2">
      <c r="A56" s="3" t="s">
        <v>3</v>
      </c>
      <c r="B56" s="2">
        <v>1</v>
      </c>
      <c r="C56" s="2">
        <v>38</v>
      </c>
      <c r="D56" s="2">
        <v>5</v>
      </c>
      <c r="E56" s="2">
        <v>3</v>
      </c>
      <c r="F56" s="2">
        <v>5</v>
      </c>
      <c r="G56" s="2">
        <v>5</v>
      </c>
      <c r="H56" s="2">
        <v>5</v>
      </c>
      <c r="I56" s="2">
        <v>3</v>
      </c>
      <c r="J56" s="2">
        <v>5</v>
      </c>
      <c r="K56" s="2" t="str">
        <f t="shared" si="1"/>
        <v>не ЦА</v>
      </c>
    </row>
    <row r="57" spans="1:11" hidden="1" x14ac:dyDescent="0.2">
      <c r="A57" s="3" t="s">
        <v>4</v>
      </c>
      <c r="B57" s="2">
        <v>2</v>
      </c>
      <c r="C57" s="2">
        <v>39</v>
      </c>
      <c r="D57" s="2">
        <v>4</v>
      </c>
      <c r="E57" s="2">
        <v>3</v>
      </c>
      <c r="F57" s="2">
        <v>4</v>
      </c>
      <c r="G57" s="2">
        <v>3</v>
      </c>
      <c r="H57" s="2">
        <v>4</v>
      </c>
      <c r="I57" s="2">
        <v>4</v>
      </c>
      <c r="J57" s="2">
        <v>5</v>
      </c>
      <c r="K57" s="2" t="str">
        <f t="shared" si="1"/>
        <v>не ЦА</v>
      </c>
    </row>
    <row r="58" spans="1:11" hidden="1" x14ac:dyDescent="0.2">
      <c r="A58" s="3" t="s">
        <v>2</v>
      </c>
      <c r="B58" s="2">
        <v>2</v>
      </c>
      <c r="C58" s="2">
        <v>39</v>
      </c>
      <c r="D58" s="2">
        <v>4</v>
      </c>
      <c r="E58" s="2">
        <v>4</v>
      </c>
      <c r="F58" s="2">
        <v>5</v>
      </c>
      <c r="G58" s="2">
        <v>4</v>
      </c>
      <c r="H58" s="2">
        <v>4</v>
      </c>
      <c r="I58" s="2">
        <v>3</v>
      </c>
      <c r="J58" s="2">
        <v>4</v>
      </c>
      <c r="K58" s="2" t="str">
        <f t="shared" si="1"/>
        <v>не ЦА</v>
      </c>
    </row>
    <row r="59" spans="1:11" hidden="1" x14ac:dyDescent="0.2">
      <c r="A59" s="3" t="s">
        <v>4</v>
      </c>
      <c r="B59" s="2">
        <v>1</v>
      </c>
      <c r="C59" s="2">
        <v>39</v>
      </c>
      <c r="D59" s="2">
        <v>4</v>
      </c>
      <c r="E59" s="2">
        <v>5</v>
      </c>
      <c r="F59" s="2">
        <v>5</v>
      </c>
      <c r="G59" s="2">
        <v>4</v>
      </c>
      <c r="H59" s="2">
        <v>5</v>
      </c>
      <c r="I59" s="2">
        <v>5</v>
      </c>
      <c r="J59" s="2">
        <v>4</v>
      </c>
      <c r="K59" s="2" t="str">
        <f t="shared" si="1"/>
        <v>не ЦА</v>
      </c>
    </row>
    <row r="60" spans="1:11" hidden="1" x14ac:dyDescent="0.2">
      <c r="A60" s="3" t="s">
        <v>2</v>
      </c>
      <c r="B60" s="2">
        <v>1</v>
      </c>
      <c r="C60" s="2">
        <v>39</v>
      </c>
      <c r="D60" s="2">
        <v>5</v>
      </c>
      <c r="E60" s="2">
        <v>4</v>
      </c>
      <c r="F60" s="2">
        <v>3</v>
      </c>
      <c r="G60" s="2">
        <v>3</v>
      </c>
      <c r="H60" s="2">
        <v>5</v>
      </c>
      <c r="I60" s="2">
        <v>5</v>
      </c>
      <c r="J60" s="2">
        <v>4</v>
      </c>
      <c r="K60" s="2" t="str">
        <f t="shared" si="1"/>
        <v>не ЦА</v>
      </c>
    </row>
    <row r="61" spans="1:11" hidden="1" x14ac:dyDescent="0.2">
      <c r="A61" s="3" t="s">
        <v>5</v>
      </c>
      <c r="B61" s="2">
        <v>2</v>
      </c>
      <c r="C61" s="2">
        <v>40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>
        <v>4</v>
      </c>
      <c r="J61" s="2">
        <v>5</v>
      </c>
      <c r="K61" s="2" t="str">
        <f t="shared" si="1"/>
        <v>не ЦА</v>
      </c>
    </row>
    <row r="62" spans="1:11" hidden="1" x14ac:dyDescent="0.2">
      <c r="A62" s="3" t="s">
        <v>6</v>
      </c>
      <c r="B62" s="2">
        <v>2</v>
      </c>
      <c r="C62" s="2">
        <v>40</v>
      </c>
      <c r="D62" s="2">
        <v>5</v>
      </c>
      <c r="E62" s="2">
        <v>4</v>
      </c>
      <c r="F62" s="2">
        <v>4</v>
      </c>
      <c r="G62" s="2">
        <v>5</v>
      </c>
      <c r="H62" s="2">
        <v>4</v>
      </c>
      <c r="I62" s="2">
        <v>4</v>
      </c>
      <c r="J62" s="2">
        <v>4</v>
      </c>
      <c r="K62" s="2" t="str">
        <f t="shared" si="1"/>
        <v>не ЦА</v>
      </c>
    </row>
    <row r="63" spans="1:11" hidden="1" x14ac:dyDescent="0.2">
      <c r="A63" s="3" t="s">
        <v>4</v>
      </c>
      <c r="B63" s="2">
        <v>1</v>
      </c>
      <c r="C63" s="2">
        <v>41</v>
      </c>
      <c r="D63" s="2">
        <v>5</v>
      </c>
      <c r="E63" s="2">
        <v>4</v>
      </c>
      <c r="F63" s="2">
        <v>4</v>
      </c>
      <c r="G63" s="2">
        <v>5</v>
      </c>
      <c r="H63" s="2">
        <v>4</v>
      </c>
      <c r="I63" s="2">
        <v>5</v>
      </c>
      <c r="J63" s="2">
        <v>4</v>
      </c>
      <c r="K63" s="2" t="str">
        <f t="shared" si="1"/>
        <v>не ЦА</v>
      </c>
    </row>
    <row r="64" spans="1:11" hidden="1" x14ac:dyDescent="0.2">
      <c r="A64" s="3" t="s">
        <v>5</v>
      </c>
      <c r="B64" s="2">
        <v>2</v>
      </c>
      <c r="C64" s="2">
        <v>41</v>
      </c>
      <c r="D64" s="2">
        <v>5</v>
      </c>
      <c r="E64" s="2">
        <v>4</v>
      </c>
      <c r="F64" s="2">
        <v>4</v>
      </c>
      <c r="G64" s="2">
        <v>4</v>
      </c>
      <c r="H64" s="2">
        <v>5</v>
      </c>
      <c r="I64" s="2">
        <v>5</v>
      </c>
      <c r="J64" s="2">
        <v>5</v>
      </c>
      <c r="K64" s="2" t="str">
        <f t="shared" si="1"/>
        <v>не ЦА</v>
      </c>
    </row>
    <row r="65" spans="1:11" hidden="1" x14ac:dyDescent="0.2">
      <c r="A65" s="3" t="s">
        <v>6</v>
      </c>
      <c r="B65" s="2">
        <v>2</v>
      </c>
      <c r="C65" s="2">
        <v>41</v>
      </c>
      <c r="D65" s="2">
        <v>5</v>
      </c>
      <c r="E65" s="2">
        <v>4</v>
      </c>
      <c r="F65" s="2">
        <v>5</v>
      </c>
      <c r="G65" s="2">
        <v>5</v>
      </c>
      <c r="H65" s="2">
        <v>4</v>
      </c>
      <c r="I65" s="2">
        <v>5</v>
      </c>
      <c r="J65" s="2">
        <v>5</v>
      </c>
      <c r="K65" s="2" t="str">
        <f t="shared" si="1"/>
        <v>не ЦА</v>
      </c>
    </row>
    <row r="66" spans="1:11" hidden="1" x14ac:dyDescent="0.2">
      <c r="A66" s="3" t="s">
        <v>5</v>
      </c>
      <c r="B66" s="2">
        <v>2</v>
      </c>
      <c r="C66" s="2">
        <v>41</v>
      </c>
      <c r="D66" s="2">
        <v>5</v>
      </c>
      <c r="E66" s="2">
        <v>5</v>
      </c>
      <c r="F66" s="2">
        <v>5</v>
      </c>
      <c r="G66" s="2">
        <v>4</v>
      </c>
      <c r="H66" s="2">
        <v>3</v>
      </c>
      <c r="I66" s="2">
        <v>4</v>
      </c>
      <c r="J66" s="2">
        <v>4</v>
      </c>
      <c r="K66" s="2" t="str">
        <f t="shared" si="1"/>
        <v>не ЦА</v>
      </c>
    </row>
    <row r="67" spans="1:11" hidden="1" x14ac:dyDescent="0.2">
      <c r="A67" s="3" t="s">
        <v>4</v>
      </c>
      <c r="B67" s="2">
        <v>1</v>
      </c>
      <c r="C67" s="2">
        <v>41</v>
      </c>
      <c r="D67" s="2">
        <v>5</v>
      </c>
      <c r="E67" s="2">
        <v>5</v>
      </c>
      <c r="F67" s="2">
        <v>5</v>
      </c>
      <c r="G67" s="2">
        <v>4</v>
      </c>
      <c r="H67" s="2">
        <v>4</v>
      </c>
      <c r="I67" s="2">
        <v>3</v>
      </c>
      <c r="J67" s="2">
        <v>5</v>
      </c>
      <c r="K67" s="2" t="str">
        <f t="shared" ref="K67:K101" si="2">IF(AND(C67&gt;=18,C67&lt;=21),"18–21",IF(AND(C67&gt;=22,C67&lt;=25),"22–25",IF(AND(C67&gt;=26,C67&lt;=30),"26–30","не ЦА")))</f>
        <v>не ЦА</v>
      </c>
    </row>
    <row r="68" spans="1:11" hidden="1" x14ac:dyDescent="0.2">
      <c r="A68" s="3" t="s">
        <v>2</v>
      </c>
      <c r="B68" s="2">
        <v>2</v>
      </c>
      <c r="C68" s="2">
        <v>42</v>
      </c>
      <c r="D68" s="2">
        <v>5</v>
      </c>
      <c r="E68" s="2">
        <v>4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 t="str">
        <f t="shared" si="2"/>
        <v>не ЦА</v>
      </c>
    </row>
    <row r="69" spans="1:11" hidden="1" x14ac:dyDescent="0.2">
      <c r="A69" s="3" t="s">
        <v>3</v>
      </c>
      <c r="B69" s="2">
        <v>1</v>
      </c>
      <c r="C69" s="2">
        <v>42</v>
      </c>
      <c r="D69" s="2">
        <v>4</v>
      </c>
      <c r="E69" s="2">
        <v>4</v>
      </c>
      <c r="F69" s="2">
        <v>5</v>
      </c>
      <c r="G69" s="2">
        <v>5</v>
      </c>
      <c r="H69" s="2">
        <v>3</v>
      </c>
      <c r="I69" s="2">
        <v>3</v>
      </c>
      <c r="J69" s="2">
        <v>4</v>
      </c>
      <c r="K69" s="2" t="str">
        <f t="shared" si="2"/>
        <v>не ЦА</v>
      </c>
    </row>
    <row r="70" spans="1:11" hidden="1" x14ac:dyDescent="0.2">
      <c r="A70" s="3" t="s">
        <v>5</v>
      </c>
      <c r="B70" s="2">
        <v>1</v>
      </c>
      <c r="C70" s="2">
        <v>42</v>
      </c>
      <c r="D70" s="2">
        <v>5</v>
      </c>
      <c r="E70" s="2">
        <v>4</v>
      </c>
      <c r="F70" s="2">
        <v>5</v>
      </c>
      <c r="G70" s="2">
        <v>3</v>
      </c>
      <c r="H70" s="2">
        <v>5</v>
      </c>
      <c r="I70" s="2">
        <v>4</v>
      </c>
      <c r="J70" s="2">
        <v>5</v>
      </c>
      <c r="K70" s="2" t="str">
        <f t="shared" si="2"/>
        <v>не ЦА</v>
      </c>
    </row>
    <row r="71" spans="1:11" hidden="1" x14ac:dyDescent="0.2">
      <c r="A71" s="3" t="s">
        <v>4</v>
      </c>
      <c r="B71" s="2">
        <v>1</v>
      </c>
      <c r="C71" s="2">
        <v>42</v>
      </c>
      <c r="D71" s="2">
        <v>4</v>
      </c>
      <c r="E71" s="2">
        <v>4</v>
      </c>
      <c r="F71" s="2">
        <v>5</v>
      </c>
      <c r="G71" s="2">
        <v>4</v>
      </c>
      <c r="H71" s="2">
        <v>5</v>
      </c>
      <c r="I71" s="2">
        <v>5</v>
      </c>
      <c r="J71" s="2">
        <v>5</v>
      </c>
      <c r="K71" s="2" t="str">
        <f t="shared" si="2"/>
        <v>не ЦА</v>
      </c>
    </row>
    <row r="72" spans="1:11" hidden="1" x14ac:dyDescent="0.2">
      <c r="A72" s="3" t="s">
        <v>2</v>
      </c>
      <c r="B72" s="2">
        <v>2</v>
      </c>
      <c r="C72" s="2">
        <v>42</v>
      </c>
      <c r="D72" s="2">
        <v>5</v>
      </c>
      <c r="E72" s="2">
        <v>4</v>
      </c>
      <c r="F72" s="2">
        <v>5</v>
      </c>
      <c r="G72" s="2">
        <v>5</v>
      </c>
      <c r="H72" s="2">
        <v>5</v>
      </c>
      <c r="I72" s="2">
        <v>5</v>
      </c>
      <c r="J72" s="2">
        <v>5</v>
      </c>
      <c r="K72" s="2" t="str">
        <f t="shared" si="2"/>
        <v>не ЦА</v>
      </c>
    </row>
    <row r="73" spans="1:11" hidden="1" x14ac:dyDescent="0.2">
      <c r="A73" s="3" t="s">
        <v>5</v>
      </c>
      <c r="B73" s="2">
        <v>1</v>
      </c>
      <c r="C73" s="2">
        <v>42</v>
      </c>
      <c r="D73" s="2">
        <v>4</v>
      </c>
      <c r="E73" s="2">
        <v>4</v>
      </c>
      <c r="F73" s="2">
        <v>4</v>
      </c>
      <c r="G73" s="2">
        <v>4</v>
      </c>
      <c r="H73" s="2">
        <v>4</v>
      </c>
      <c r="I73" s="2">
        <v>4</v>
      </c>
      <c r="J73" s="2">
        <v>4</v>
      </c>
      <c r="K73" s="2" t="str">
        <f t="shared" si="2"/>
        <v>не ЦА</v>
      </c>
    </row>
    <row r="74" spans="1:11" hidden="1" x14ac:dyDescent="0.2">
      <c r="A74" s="3" t="s">
        <v>3</v>
      </c>
      <c r="B74" s="2">
        <v>1</v>
      </c>
      <c r="C74" s="2">
        <v>42</v>
      </c>
      <c r="D74" s="2">
        <v>5</v>
      </c>
      <c r="E74" s="2">
        <v>4</v>
      </c>
      <c r="F74" s="2">
        <v>5</v>
      </c>
      <c r="G74" s="2">
        <v>5</v>
      </c>
      <c r="H74" s="2">
        <v>4</v>
      </c>
      <c r="I74" s="2">
        <v>5</v>
      </c>
      <c r="J74" s="2">
        <v>5</v>
      </c>
      <c r="K74" s="2" t="str">
        <f t="shared" si="2"/>
        <v>не ЦА</v>
      </c>
    </row>
    <row r="75" spans="1:11" hidden="1" x14ac:dyDescent="0.2">
      <c r="A75" s="3" t="s">
        <v>2</v>
      </c>
      <c r="B75" s="2">
        <v>2</v>
      </c>
      <c r="C75" s="2">
        <v>42</v>
      </c>
      <c r="D75" s="2">
        <v>4</v>
      </c>
      <c r="E75" s="2">
        <v>4</v>
      </c>
      <c r="F75" s="2">
        <v>4</v>
      </c>
      <c r="G75" s="2">
        <v>5</v>
      </c>
      <c r="H75" s="2">
        <v>4</v>
      </c>
      <c r="I75" s="2">
        <v>4</v>
      </c>
      <c r="J75" s="2">
        <v>3</v>
      </c>
      <c r="K75" s="2" t="str">
        <f t="shared" si="2"/>
        <v>не ЦА</v>
      </c>
    </row>
    <row r="76" spans="1:11" hidden="1" x14ac:dyDescent="0.2">
      <c r="A76" s="3" t="s">
        <v>5</v>
      </c>
      <c r="B76" s="2">
        <v>1</v>
      </c>
      <c r="C76" s="2">
        <v>42</v>
      </c>
      <c r="D76" s="2">
        <v>1</v>
      </c>
      <c r="E76" s="2">
        <v>1</v>
      </c>
      <c r="F76" s="2">
        <v>3</v>
      </c>
      <c r="G76" s="2">
        <v>3</v>
      </c>
      <c r="H76" s="2">
        <v>3</v>
      </c>
      <c r="I76" s="2">
        <v>3</v>
      </c>
      <c r="J76" s="2">
        <v>5</v>
      </c>
      <c r="K76" s="2" t="str">
        <f t="shared" si="2"/>
        <v>не ЦА</v>
      </c>
    </row>
    <row r="77" spans="1:11" hidden="1" x14ac:dyDescent="0.2">
      <c r="A77" s="3" t="s">
        <v>5</v>
      </c>
      <c r="B77" s="2">
        <v>2</v>
      </c>
      <c r="C77" s="2">
        <v>44</v>
      </c>
      <c r="D77" s="2">
        <v>5</v>
      </c>
      <c r="E77" s="2">
        <v>4</v>
      </c>
      <c r="F77" s="2">
        <v>4</v>
      </c>
      <c r="G77" s="2">
        <v>4</v>
      </c>
      <c r="H77" s="2">
        <v>4</v>
      </c>
      <c r="I77" s="2">
        <v>1</v>
      </c>
      <c r="J77" s="2">
        <v>4</v>
      </c>
      <c r="K77" s="2" t="str">
        <f t="shared" si="2"/>
        <v>не ЦА</v>
      </c>
    </row>
    <row r="78" spans="1:11" hidden="1" x14ac:dyDescent="0.2">
      <c r="A78" s="3" t="s">
        <v>6</v>
      </c>
      <c r="B78" s="2">
        <v>2</v>
      </c>
      <c r="C78" s="2">
        <v>44</v>
      </c>
      <c r="D78" s="2">
        <v>5</v>
      </c>
      <c r="E78" s="2">
        <v>3</v>
      </c>
      <c r="F78" s="2">
        <v>5</v>
      </c>
      <c r="G78" s="2">
        <v>5</v>
      </c>
      <c r="H78" s="2">
        <v>5</v>
      </c>
      <c r="I78" s="2">
        <v>5</v>
      </c>
      <c r="J78" s="2">
        <v>5</v>
      </c>
      <c r="K78" s="2" t="str">
        <f t="shared" si="2"/>
        <v>не ЦА</v>
      </c>
    </row>
    <row r="79" spans="1:11" hidden="1" x14ac:dyDescent="0.2">
      <c r="A79" s="3" t="s">
        <v>5</v>
      </c>
      <c r="B79" s="2">
        <v>1</v>
      </c>
      <c r="C79" s="2">
        <v>45</v>
      </c>
      <c r="D79" s="2">
        <v>4</v>
      </c>
      <c r="E79" s="2">
        <v>5</v>
      </c>
      <c r="F79" s="2">
        <v>4</v>
      </c>
      <c r="G79" s="2">
        <v>4</v>
      </c>
      <c r="H79" s="2">
        <v>3</v>
      </c>
      <c r="I79" s="2">
        <v>5</v>
      </c>
      <c r="J79" s="2">
        <v>5</v>
      </c>
      <c r="K79" s="2" t="str">
        <f t="shared" si="2"/>
        <v>не ЦА</v>
      </c>
    </row>
    <row r="80" spans="1:11" hidden="1" x14ac:dyDescent="0.2">
      <c r="A80" s="3" t="s">
        <v>6</v>
      </c>
      <c r="B80" s="2">
        <v>1</v>
      </c>
      <c r="C80" s="2">
        <v>45</v>
      </c>
      <c r="D80" s="2">
        <v>4</v>
      </c>
      <c r="E80" s="2">
        <v>5</v>
      </c>
      <c r="F80" s="2">
        <v>5</v>
      </c>
      <c r="G80" s="2">
        <v>5</v>
      </c>
      <c r="H80" s="2">
        <v>4</v>
      </c>
      <c r="I80" s="2">
        <v>5</v>
      </c>
      <c r="J80" s="2">
        <v>5</v>
      </c>
      <c r="K80" s="2" t="str">
        <f t="shared" si="2"/>
        <v>не ЦА</v>
      </c>
    </row>
    <row r="81" spans="1:11" hidden="1" x14ac:dyDescent="0.2">
      <c r="A81" s="3" t="s">
        <v>2</v>
      </c>
      <c r="B81" s="2">
        <v>2</v>
      </c>
      <c r="C81" s="2">
        <v>46</v>
      </c>
      <c r="D81" s="2">
        <v>4</v>
      </c>
      <c r="E81" s="2">
        <v>5</v>
      </c>
      <c r="F81" s="2">
        <v>4</v>
      </c>
      <c r="G81" s="2">
        <v>5</v>
      </c>
      <c r="H81" s="2">
        <v>5</v>
      </c>
      <c r="I81" s="2">
        <v>5</v>
      </c>
      <c r="J81" s="2">
        <v>4</v>
      </c>
      <c r="K81" s="2" t="str">
        <f t="shared" si="2"/>
        <v>не ЦА</v>
      </c>
    </row>
    <row r="82" spans="1:11" hidden="1" x14ac:dyDescent="0.2">
      <c r="A82" s="3" t="s">
        <v>5</v>
      </c>
      <c r="B82" s="2">
        <v>1</v>
      </c>
      <c r="C82" s="2">
        <v>47</v>
      </c>
      <c r="D82" s="2">
        <v>5</v>
      </c>
      <c r="E82" s="2">
        <v>4</v>
      </c>
      <c r="F82" s="2">
        <v>4</v>
      </c>
      <c r="G82" s="2">
        <v>5</v>
      </c>
      <c r="H82" s="2">
        <v>5</v>
      </c>
      <c r="I82" s="2">
        <v>4</v>
      </c>
      <c r="J82" s="2">
        <v>5</v>
      </c>
      <c r="K82" s="2" t="str">
        <f t="shared" si="2"/>
        <v>не ЦА</v>
      </c>
    </row>
    <row r="83" spans="1:11" hidden="1" x14ac:dyDescent="0.2">
      <c r="A83" s="3" t="s">
        <v>4</v>
      </c>
      <c r="B83" s="2">
        <v>1</v>
      </c>
      <c r="C83" s="2">
        <v>47</v>
      </c>
      <c r="D83" s="2">
        <v>5</v>
      </c>
      <c r="E83" s="2">
        <v>5</v>
      </c>
      <c r="F83" s="2">
        <v>5</v>
      </c>
      <c r="G83" s="2">
        <v>5</v>
      </c>
      <c r="H83" s="2">
        <v>4</v>
      </c>
      <c r="I83" s="2">
        <v>4</v>
      </c>
      <c r="J83" s="2">
        <v>5</v>
      </c>
      <c r="K83" s="2" t="str">
        <f t="shared" si="2"/>
        <v>не ЦА</v>
      </c>
    </row>
    <row r="84" spans="1:11" hidden="1" x14ac:dyDescent="0.2">
      <c r="A84" s="3" t="s">
        <v>2</v>
      </c>
      <c r="B84" s="2">
        <v>2</v>
      </c>
      <c r="C84" s="2">
        <v>47</v>
      </c>
      <c r="D84" s="2">
        <v>4</v>
      </c>
      <c r="E84" s="2">
        <v>4</v>
      </c>
      <c r="F84" s="2">
        <v>4</v>
      </c>
      <c r="G84" s="2">
        <v>5</v>
      </c>
      <c r="H84" s="2">
        <v>4</v>
      </c>
      <c r="I84" s="2">
        <v>5</v>
      </c>
      <c r="J84" s="2">
        <v>5</v>
      </c>
      <c r="K84" s="2" t="str">
        <f t="shared" si="2"/>
        <v>не ЦА</v>
      </c>
    </row>
    <row r="85" spans="1:11" hidden="1" x14ac:dyDescent="0.2">
      <c r="A85" s="3" t="s">
        <v>4</v>
      </c>
      <c r="B85" s="2">
        <v>1</v>
      </c>
      <c r="C85" s="2">
        <v>47</v>
      </c>
      <c r="D85" s="2">
        <v>3</v>
      </c>
      <c r="E85" s="2">
        <v>4</v>
      </c>
      <c r="F85" s="2">
        <v>4</v>
      </c>
      <c r="G85" s="2">
        <v>3</v>
      </c>
      <c r="H85" s="2">
        <v>3</v>
      </c>
      <c r="I85" s="2">
        <v>5</v>
      </c>
      <c r="J85" s="2">
        <v>3</v>
      </c>
      <c r="K85" s="2" t="str">
        <f t="shared" si="2"/>
        <v>не ЦА</v>
      </c>
    </row>
    <row r="86" spans="1:11" hidden="1" x14ac:dyDescent="0.2">
      <c r="A86" s="3" t="s">
        <v>2</v>
      </c>
      <c r="B86" s="2">
        <v>2</v>
      </c>
      <c r="C86" s="2">
        <v>48</v>
      </c>
      <c r="D86" s="2">
        <v>4</v>
      </c>
      <c r="E86" s="2">
        <v>5</v>
      </c>
      <c r="F86" s="2">
        <v>5</v>
      </c>
      <c r="G86" s="2">
        <v>5</v>
      </c>
      <c r="H86" s="2">
        <v>5</v>
      </c>
      <c r="I86" s="2">
        <v>5</v>
      </c>
      <c r="J86" s="2">
        <v>4</v>
      </c>
      <c r="K86" s="2" t="str">
        <f t="shared" si="2"/>
        <v>не ЦА</v>
      </c>
    </row>
    <row r="87" spans="1:11" hidden="1" x14ac:dyDescent="0.2">
      <c r="A87" s="3" t="s">
        <v>4</v>
      </c>
      <c r="B87" s="2">
        <v>1</v>
      </c>
      <c r="C87" s="2">
        <v>48</v>
      </c>
      <c r="D87" s="2">
        <v>4</v>
      </c>
      <c r="E87" s="2">
        <v>4</v>
      </c>
      <c r="F87" s="2">
        <v>5</v>
      </c>
      <c r="G87" s="2">
        <v>4</v>
      </c>
      <c r="H87" s="2">
        <v>5</v>
      </c>
      <c r="I87" s="2">
        <v>5</v>
      </c>
      <c r="J87" s="2">
        <v>5</v>
      </c>
      <c r="K87" s="2" t="str">
        <f t="shared" si="2"/>
        <v>не ЦА</v>
      </c>
    </row>
    <row r="88" spans="1:11" hidden="1" x14ac:dyDescent="0.2">
      <c r="A88" s="3" t="s">
        <v>6</v>
      </c>
      <c r="B88" s="2">
        <v>2</v>
      </c>
      <c r="C88" s="2">
        <v>48</v>
      </c>
      <c r="D88" s="2">
        <v>5</v>
      </c>
      <c r="E88" s="2">
        <v>4</v>
      </c>
      <c r="F88" s="2">
        <v>5</v>
      </c>
      <c r="G88" s="2">
        <v>5</v>
      </c>
      <c r="H88" s="2">
        <v>4</v>
      </c>
      <c r="I88" s="2">
        <v>5</v>
      </c>
      <c r="J88" s="2">
        <v>5</v>
      </c>
      <c r="K88" s="2" t="str">
        <f t="shared" si="2"/>
        <v>не ЦА</v>
      </c>
    </row>
    <row r="89" spans="1:11" hidden="1" x14ac:dyDescent="0.2">
      <c r="A89" s="3" t="s">
        <v>5</v>
      </c>
      <c r="B89" s="2">
        <v>1</v>
      </c>
      <c r="C89" s="2">
        <v>49</v>
      </c>
      <c r="D89" s="2">
        <v>3</v>
      </c>
      <c r="E89" s="2">
        <v>5</v>
      </c>
      <c r="F89" s="2">
        <v>5</v>
      </c>
      <c r="G89" s="2">
        <v>3</v>
      </c>
      <c r="H89" s="2">
        <v>5</v>
      </c>
      <c r="I89" s="2">
        <v>2</v>
      </c>
      <c r="J89" s="2">
        <v>5</v>
      </c>
      <c r="K89" s="2" t="str">
        <f t="shared" si="2"/>
        <v>не ЦА</v>
      </c>
    </row>
    <row r="90" spans="1:11" hidden="1" x14ac:dyDescent="0.2">
      <c r="A90" s="3" t="s">
        <v>5</v>
      </c>
      <c r="B90" s="2">
        <v>2</v>
      </c>
      <c r="C90" s="2">
        <v>51</v>
      </c>
      <c r="D90" s="2">
        <v>5</v>
      </c>
      <c r="E90" s="2">
        <v>4</v>
      </c>
      <c r="F90" s="2">
        <v>4</v>
      </c>
      <c r="G90" s="2">
        <v>5</v>
      </c>
      <c r="H90" s="2">
        <v>4</v>
      </c>
      <c r="I90" s="2">
        <v>4</v>
      </c>
      <c r="J90" s="2">
        <v>5</v>
      </c>
      <c r="K90" s="2" t="str">
        <f t="shared" si="2"/>
        <v>не ЦА</v>
      </c>
    </row>
    <row r="91" spans="1:11" hidden="1" x14ac:dyDescent="0.2">
      <c r="A91" s="3" t="s">
        <v>4</v>
      </c>
      <c r="B91" s="2">
        <v>2</v>
      </c>
      <c r="C91" s="2">
        <v>51</v>
      </c>
      <c r="D91" s="2">
        <v>5</v>
      </c>
      <c r="E91" s="2">
        <v>4</v>
      </c>
      <c r="F91" s="2">
        <v>5</v>
      </c>
      <c r="G91" s="2">
        <v>4</v>
      </c>
      <c r="H91" s="2">
        <v>4</v>
      </c>
      <c r="I91" s="2">
        <v>5</v>
      </c>
      <c r="J91" s="2">
        <v>5</v>
      </c>
      <c r="K91" s="2" t="str">
        <f t="shared" si="2"/>
        <v>не ЦА</v>
      </c>
    </row>
    <row r="92" spans="1:11" hidden="1" x14ac:dyDescent="0.2">
      <c r="A92" s="3" t="s">
        <v>6</v>
      </c>
      <c r="B92" s="2">
        <v>1</v>
      </c>
      <c r="C92" s="2">
        <v>52</v>
      </c>
      <c r="D92" s="2">
        <v>4</v>
      </c>
      <c r="E92" s="2">
        <v>5</v>
      </c>
      <c r="F92" s="2">
        <v>5</v>
      </c>
      <c r="G92" s="2">
        <v>5</v>
      </c>
      <c r="H92" s="2">
        <v>5</v>
      </c>
      <c r="I92" s="2">
        <v>5</v>
      </c>
      <c r="J92" s="2">
        <v>5</v>
      </c>
      <c r="K92" s="2" t="str">
        <f t="shared" si="2"/>
        <v>не ЦА</v>
      </c>
    </row>
    <row r="93" spans="1:11" hidden="1" x14ac:dyDescent="0.2">
      <c r="A93" s="3" t="s">
        <v>2</v>
      </c>
      <c r="B93" s="2">
        <v>1</v>
      </c>
      <c r="C93" s="2">
        <v>52</v>
      </c>
      <c r="D93" s="2">
        <v>3</v>
      </c>
      <c r="E93" s="2">
        <v>3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 t="str">
        <f t="shared" si="2"/>
        <v>не ЦА</v>
      </c>
    </row>
    <row r="94" spans="1:11" hidden="1" x14ac:dyDescent="0.2">
      <c r="A94" s="3" t="s">
        <v>5</v>
      </c>
      <c r="B94" s="2">
        <v>2</v>
      </c>
      <c r="C94" s="2">
        <v>54</v>
      </c>
      <c r="D94" s="2">
        <v>5</v>
      </c>
      <c r="E94" s="2">
        <v>4</v>
      </c>
      <c r="F94" s="2">
        <v>5</v>
      </c>
      <c r="G94" s="2">
        <v>2</v>
      </c>
      <c r="H94" s="2">
        <v>5</v>
      </c>
      <c r="I94" s="2">
        <v>3</v>
      </c>
      <c r="J94" s="2">
        <v>4</v>
      </c>
      <c r="K94" s="2" t="str">
        <f t="shared" si="2"/>
        <v>не ЦА</v>
      </c>
    </row>
    <row r="95" spans="1:11" hidden="1" x14ac:dyDescent="0.2">
      <c r="A95" s="3" t="s">
        <v>5</v>
      </c>
      <c r="B95" s="2">
        <v>2</v>
      </c>
      <c r="C95" s="2">
        <v>55</v>
      </c>
      <c r="D95" s="2">
        <v>3</v>
      </c>
      <c r="E95" s="2">
        <v>4</v>
      </c>
      <c r="F95" s="2">
        <v>1</v>
      </c>
      <c r="G95" s="2">
        <v>3</v>
      </c>
      <c r="H95" s="2">
        <v>4</v>
      </c>
      <c r="I95" s="2">
        <v>5</v>
      </c>
      <c r="J95" s="2">
        <v>4</v>
      </c>
      <c r="K95" s="2" t="str">
        <f t="shared" si="2"/>
        <v>не ЦА</v>
      </c>
    </row>
    <row r="96" spans="1:11" hidden="1" x14ac:dyDescent="0.2">
      <c r="A96" s="3" t="s">
        <v>5</v>
      </c>
      <c r="B96" s="2">
        <v>1</v>
      </c>
      <c r="C96" s="2">
        <v>56</v>
      </c>
      <c r="D96" s="2">
        <v>5</v>
      </c>
      <c r="E96" s="2">
        <v>4</v>
      </c>
      <c r="F96" s="2">
        <v>5</v>
      </c>
      <c r="G96" s="2">
        <v>4</v>
      </c>
      <c r="H96" s="2">
        <v>5</v>
      </c>
      <c r="I96" s="2">
        <v>4</v>
      </c>
      <c r="J96" s="2">
        <v>5</v>
      </c>
      <c r="K96" s="2" t="str">
        <f t="shared" si="2"/>
        <v>не ЦА</v>
      </c>
    </row>
    <row r="97" spans="1:11" hidden="1" x14ac:dyDescent="0.2">
      <c r="A97" s="3" t="s">
        <v>3</v>
      </c>
      <c r="B97" s="2">
        <v>1</v>
      </c>
      <c r="C97" s="2">
        <v>61</v>
      </c>
      <c r="D97" s="2">
        <v>5</v>
      </c>
      <c r="E97" s="2">
        <v>4</v>
      </c>
      <c r="F97" s="2">
        <v>5</v>
      </c>
      <c r="G97" s="2">
        <v>5</v>
      </c>
      <c r="H97" s="2">
        <v>3</v>
      </c>
      <c r="I97" s="2">
        <v>4</v>
      </c>
      <c r="J97" s="2">
        <v>5</v>
      </c>
      <c r="K97" s="2" t="str">
        <f t="shared" si="2"/>
        <v>не ЦА</v>
      </c>
    </row>
    <row r="98" spans="1:11" hidden="1" x14ac:dyDescent="0.2">
      <c r="A98" s="3" t="s">
        <v>3</v>
      </c>
      <c r="B98" s="2">
        <v>2</v>
      </c>
      <c r="C98" s="2">
        <v>61</v>
      </c>
      <c r="D98" s="2">
        <v>5</v>
      </c>
      <c r="E98" s="2">
        <v>4</v>
      </c>
      <c r="F98" s="2">
        <v>3</v>
      </c>
      <c r="G98" s="2">
        <v>3</v>
      </c>
      <c r="H98" s="2">
        <v>4</v>
      </c>
      <c r="I98" s="2">
        <v>5</v>
      </c>
      <c r="J98" s="2">
        <v>5</v>
      </c>
      <c r="K98" s="2" t="str">
        <f t="shared" si="2"/>
        <v>не ЦА</v>
      </c>
    </row>
    <row r="99" spans="1:11" hidden="1" x14ac:dyDescent="0.2">
      <c r="A99" s="3" t="s">
        <v>6</v>
      </c>
      <c r="B99" s="2">
        <v>1</v>
      </c>
      <c r="C99" s="2">
        <v>62</v>
      </c>
      <c r="D99" s="2">
        <v>5</v>
      </c>
      <c r="E99" s="2">
        <v>4</v>
      </c>
      <c r="F99" s="2">
        <v>4</v>
      </c>
      <c r="G99" s="2">
        <v>5</v>
      </c>
      <c r="H99" s="2">
        <v>4</v>
      </c>
      <c r="I99" s="2">
        <v>5</v>
      </c>
      <c r="J99" s="2">
        <v>5</v>
      </c>
      <c r="K99" s="2" t="str">
        <f t="shared" si="2"/>
        <v>не ЦА</v>
      </c>
    </row>
    <row r="100" spans="1:11" hidden="1" x14ac:dyDescent="0.2">
      <c r="A100" s="3" t="s">
        <v>5</v>
      </c>
      <c r="B100" s="2">
        <v>1</v>
      </c>
      <c r="C100" s="2">
        <v>63</v>
      </c>
      <c r="D100" s="2">
        <v>5</v>
      </c>
      <c r="E100" s="2">
        <v>5</v>
      </c>
      <c r="F100" s="2">
        <v>5</v>
      </c>
      <c r="G100" s="2">
        <v>5</v>
      </c>
      <c r="H100" s="2">
        <v>5</v>
      </c>
      <c r="I100" s="2">
        <v>2</v>
      </c>
      <c r="J100" s="2">
        <v>9</v>
      </c>
      <c r="K100" s="2" t="str">
        <f t="shared" si="2"/>
        <v>не ЦА</v>
      </c>
    </row>
    <row r="101" spans="1:11" ht="250" hidden="1" x14ac:dyDescent="0.2">
      <c r="A101" s="3" t="s">
        <v>4</v>
      </c>
      <c r="B101" s="2">
        <v>2</v>
      </c>
      <c r="C101" s="2">
        <v>64</v>
      </c>
      <c r="D101" s="2">
        <v>4</v>
      </c>
      <c r="E101" s="2">
        <v>1</v>
      </c>
      <c r="F101" s="2">
        <v>1</v>
      </c>
      <c r="G101" s="2">
        <v>3</v>
      </c>
      <c r="H101" s="2">
        <v>5</v>
      </c>
      <c r="I101" s="2">
        <v>3</v>
      </c>
      <c r="J101" s="2">
        <v>5</v>
      </c>
      <c r="K101" s="2" t="str">
        <f t="shared" si="2"/>
        <v>не ЦА</v>
      </c>
    </row>
    <row r="102" spans="1:11" x14ac:dyDescent="0.2">
      <c r="A102" s="4"/>
      <c r="B102" s="5"/>
      <c r="C102" s="5"/>
      <c r="D102" s="5"/>
      <c r="E102" s="5"/>
      <c r="F102" s="5"/>
      <c r="G102" s="5"/>
      <c r="H102" s="5"/>
      <c r="I102" s="5"/>
      <c r="J102" s="5"/>
    </row>
    <row r="103" spans="1:11" x14ac:dyDescent="0.2">
      <c r="A103" s="4"/>
      <c r="B103" s="5"/>
      <c r="C103" s="5"/>
      <c r="D103" s="5"/>
      <c r="E103" s="5"/>
      <c r="F103" s="5"/>
      <c r="G103" s="5"/>
      <c r="H103" s="5"/>
      <c r="I103" s="5"/>
      <c r="J103" s="5"/>
    </row>
    <row r="104" spans="1:11" x14ac:dyDescent="0.2">
      <c r="A104" s="4"/>
      <c r="B104" s="5"/>
      <c r="C104" s="5"/>
      <c r="D104" s="5"/>
      <c r="E104" s="5"/>
      <c r="F104" s="5"/>
      <c r="G104" s="5"/>
      <c r="H104" s="5"/>
      <c r="I104" s="5"/>
      <c r="J104" s="5"/>
    </row>
    <row r="105" spans="1:11" x14ac:dyDescent="0.2">
      <c r="A105" s="4"/>
      <c r="B105" s="5"/>
      <c r="C105" s="5"/>
      <c r="D105" s="5"/>
      <c r="E105" s="5"/>
      <c r="F105" s="5"/>
      <c r="G105" s="5"/>
      <c r="H105" s="5"/>
      <c r="I105" s="5"/>
      <c r="J105" s="5"/>
    </row>
    <row r="106" spans="1:11" x14ac:dyDescent="0.2">
      <c r="A106" s="4"/>
      <c r="B106" s="5"/>
      <c r="C106" s="5"/>
      <c r="D106" s="5"/>
      <c r="E106" s="5"/>
      <c r="F106" s="5"/>
      <c r="G106" s="5"/>
      <c r="H106" s="5"/>
      <c r="I106" s="5"/>
      <c r="J106" s="5"/>
    </row>
    <row r="107" spans="1:11" x14ac:dyDescent="0.2">
      <c r="A107" s="4"/>
      <c r="B107" s="5"/>
      <c r="C107" s="5"/>
      <c r="D107" s="5"/>
      <c r="E107" s="5"/>
      <c r="F107" s="5"/>
      <c r="G107" s="5"/>
      <c r="H107" s="5"/>
      <c r="I107" s="5"/>
      <c r="J107" s="5"/>
    </row>
    <row r="108" spans="1:11" x14ac:dyDescent="0.2">
      <c r="A108" s="4"/>
      <c r="B108" s="5"/>
      <c r="C108" s="5"/>
      <c r="D108" s="5"/>
      <c r="E108" s="5"/>
      <c r="F108" s="5"/>
      <c r="G108" s="5"/>
      <c r="H108" s="5"/>
      <c r="I108" s="5"/>
      <c r="J108" s="5"/>
    </row>
    <row r="109" spans="1:11" x14ac:dyDescent="0.2">
      <c r="A109" s="4"/>
      <c r="B109" s="5"/>
      <c r="C109" s="5"/>
      <c r="D109" s="5"/>
      <c r="E109" s="5"/>
      <c r="F109" s="5"/>
      <c r="G109" s="5"/>
      <c r="H109" s="5"/>
      <c r="I109" s="5"/>
      <c r="J109" s="5"/>
    </row>
    <row r="110" spans="1:11" x14ac:dyDescent="0.2">
      <c r="A110" s="4"/>
      <c r="B110" s="5"/>
      <c r="C110" s="5"/>
      <c r="D110" s="5"/>
      <c r="E110" s="5"/>
      <c r="F110" s="5"/>
      <c r="G110" s="5"/>
      <c r="H110" s="5"/>
      <c r="I110" s="5"/>
      <c r="J110" s="5"/>
    </row>
    <row r="111" spans="1:11" x14ac:dyDescent="0.2">
      <c r="A111" s="4"/>
      <c r="B111" s="5"/>
      <c r="C111" s="5"/>
      <c r="D111" s="5"/>
      <c r="E111" s="5"/>
      <c r="F111" s="5"/>
      <c r="G111" s="5"/>
      <c r="H111" s="5"/>
      <c r="I111" s="5"/>
      <c r="J111" s="5"/>
    </row>
    <row r="112" spans="1:11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">
      <c r="A114" s="4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">
      <c r="A115" s="4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">
      <c r="A116" s="4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">
      <c r="A117" s="4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">
      <c r="A118" s="4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">
      <c r="A119" s="4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">
      <c r="A120" s="4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">
      <c r="A121" s="4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">
      <c r="A122" s="4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">
      <c r="A125" s="4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">
      <c r="A126" s="4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">
      <c r="A127" s="4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">
      <c r="A128" s="4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">
      <c r="A129" s="4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">
      <c r="A130" s="4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">
      <c r="A131" s="4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">
      <c r="A132" s="4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">
      <c r="A133" s="4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">
      <c r="A134" s="4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">
      <c r="A135" s="4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">
      <c r="A136" s="4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">
      <c r="A137" s="4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">
      <c r="A138" s="4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">
      <c r="A139" s="4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">
      <c r="A140" s="4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">
      <c r="A141" s="4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">
      <c r="A142" s="4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">
      <c r="A143" s="4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">
      <c r="A144" s="4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">
      <c r="A145" s="4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">
      <c r="A146" s="4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">
      <c r="A147" s="4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">
      <c r="A149" s="4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">
      <c r="A150" s="4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">
      <c r="A151" s="4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">
      <c r="A152" s="4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">
      <c r="A154" s="4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">
      <c r="A155" s="4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">
      <c r="A156" s="4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">
      <c r="A157" s="4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">
      <c r="A158" s="4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">
      <c r="A159" s="4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">
      <c r="A160" s="4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">
      <c r="A161" s="4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">
      <c r="A162" s="4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">
      <c r="A164" s="4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">
      <c r="A165" s="4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">
      <c r="A166" s="4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">
      <c r="A167" s="4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">
      <c r="A168" s="4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">
      <c r="A169" s="4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">
      <c r="A170" s="4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">
      <c r="A171" s="4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">
      <c r="A172" s="4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">
      <c r="A173" s="4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">
      <c r="A174" s="4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">
      <c r="A175" s="4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">
      <c r="A176" s="4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">
      <c r="A177" s="4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">
      <c r="A178" s="4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">
      <c r="A179" s="4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">
      <c r="A180" s="4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">
      <c r="A181" s="4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">
      <c r="A182" s="4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">
      <c r="A183" s="4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">
      <c r="A184" s="4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">
      <c r="A185" s="4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">
      <c r="A186" s="4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">
      <c r="A187" s="4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">
      <c r="A188" s="4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">
      <c r="A189" s="4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">
      <c r="A190" s="4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">
      <c r="A191" s="4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">
      <c r="A192" s="4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">
      <c r="A193" s="4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">
      <c r="A194" s="4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">
      <c r="A195" s="4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">
      <c r="A196" s="4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">
      <c r="A197" s="4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">
      <c r="A198" s="4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">
      <c r="A199" s="4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">
      <c r="A200" s="4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">
      <c r="A201" s="4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">
      <c r="A202" s="4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">
      <c r="A203" s="4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">
      <c r="A204" s="4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">
      <c r="A205" s="4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">
      <c r="A206" s="4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">
      <c r="A207" s="4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">
      <c r="A208" s="4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">
      <c r="A209" s="4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">
      <c r="A210" s="4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">
      <c r="A211" s="4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">
      <c r="A212" s="4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">
      <c r="A213" s="4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">
      <c r="A214" s="4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">
      <c r="A215" s="4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">
      <c r="A216" s="4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">
      <c r="A217" s="4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">
      <c r="A218" s="4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">
      <c r="A219" s="4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">
      <c r="A220" s="4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">
      <c r="A221" s="4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">
      <c r="A222" s="4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">
      <c r="A223" s="4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">
      <c r="A224" s="4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">
      <c r="A225" s="4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">
      <c r="A226" s="4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">
      <c r="A227" s="4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">
      <c r="A228" s="4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">
      <c r="A229" s="4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">
      <c r="A230" s="4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">
      <c r="A231" s="4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">
      <c r="A232" s="4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">
      <c r="A233" s="4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">
      <c r="A234" s="4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">
      <c r="A235" s="4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">
      <c r="A236" s="4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">
      <c r="A237" s="4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">
      <c r="A238" s="4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">
      <c r="A239" s="4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">
      <c r="A240" s="4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">
      <c r="A241" s="4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">
      <c r="A242" s="4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">
      <c r="A243" s="4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">
      <c r="A244" s="4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">
      <c r="A245" s="4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">
      <c r="A246" s="4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">
      <c r="A247" s="4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">
      <c r="A248" s="4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">
      <c r="A249" s="4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">
      <c r="A250" s="4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">
      <c r="A251" s="4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">
      <c r="A252" s="4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">
      <c r="A253" s="4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">
      <c r="A254" s="4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">
      <c r="A255" s="4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">
      <c r="A256" s="4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">
      <c r="A257" s="4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">
      <c r="A258" s="4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">
      <c r="A259" s="4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">
      <c r="A260" s="4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">
      <c r="A261" s="4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">
      <c r="A262" s="4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">
      <c r="A263" s="4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">
      <c r="A264" s="4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">
      <c r="A265" s="4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">
      <c r="A266" s="4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">
      <c r="A267" s="4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">
      <c r="A268" s="4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">
      <c r="A269" s="4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">
      <c r="A270" s="4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">
      <c r="A271" s="4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">
      <c r="A272" s="4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">
      <c r="A273" s="4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">
      <c r="A274" s="4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">
      <c r="A275" s="4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">
      <c r="A276" s="4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">
      <c r="A277" s="4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">
      <c r="A278" s="4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">
      <c r="A279" s="4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">
      <c r="A280" s="4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">
      <c r="A281" s="4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">
      <c r="A282" s="4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">
      <c r="A283" s="4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">
      <c r="A284" s="4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">
      <c r="A285" s="4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">
      <c r="A286" s="4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">
      <c r="A287" s="4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">
      <c r="A288" s="4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">
      <c r="A289" s="4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">
      <c r="A290" s="4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">
      <c r="A291" s="4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">
      <c r="A292" s="4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">
      <c r="A293" s="4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">
      <c r="A294" s="4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">
      <c r="A295" s="4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">
      <c r="A296" s="4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">
      <c r="A297" s="4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">
      <c r="A298" s="4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">
      <c r="A299" s="4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">
      <c r="A300" s="4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">
      <c r="A301" s="4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">
      <c r="A302" s="4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">
      <c r="A303" s="4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">
      <c r="A304" s="4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">
      <c r="A305" s="4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">
      <c r="A306" s="4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">
      <c r="A307" s="4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">
      <c r="A308" s="4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">
      <c r="A309" s="4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">
      <c r="A310" s="4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">
      <c r="A311" s="4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">
      <c r="A312" s="4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">
      <c r="A313" s="4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">
      <c r="A314" s="4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">
      <c r="A315" s="4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">
      <c r="A316" s="4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">
      <c r="A317" s="4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">
      <c r="A318" s="4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">
      <c r="A319" s="4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">
      <c r="A320" s="4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">
      <c r="A321" s="4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">
      <c r="A322" s="4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">
      <c r="A323" s="4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">
      <c r="A324" s="4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">
      <c r="A325" s="4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">
      <c r="A326" s="4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">
      <c r="A327" s="4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">
      <c r="A328" s="4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">
      <c r="A329" s="4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">
      <c r="A330" s="4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">
      <c r="A331" s="4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">
      <c r="A332" s="4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">
      <c r="A333" s="4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">
      <c r="A334" s="4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">
      <c r="A335" s="4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">
      <c r="A336" s="4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">
      <c r="A337" s="4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">
      <c r="A338" s="4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">
      <c r="A339" s="4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">
      <c r="A340" s="4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">
      <c r="A341" s="4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">
      <c r="A342" s="4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">
      <c r="A343" s="4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">
      <c r="A344" s="4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">
      <c r="A345" s="4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">
      <c r="A346" s="4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">
      <c r="A347" s="4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">
      <c r="A348" s="4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">
      <c r="A349" s="4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">
      <c r="A350" s="4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">
      <c r="A351" s="4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">
      <c r="A352" s="4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">
      <c r="A353" s="4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">
      <c r="A354" s="4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">
      <c r="A355" s="4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">
      <c r="A356" s="4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">
      <c r="A357" s="4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">
      <c r="A358" s="4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">
      <c r="A359" s="4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">
      <c r="A360" s="4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">
      <c r="A361" s="4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">
      <c r="A362" s="4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">
      <c r="A363" s="4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">
      <c r="A364" s="4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">
      <c r="A365" s="4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">
      <c r="A366" s="4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">
      <c r="A367" s="4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">
      <c r="A368" s="4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">
      <c r="A369" s="4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">
      <c r="A370" s="4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">
      <c r="A371" s="4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">
      <c r="A372" s="4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">
      <c r="A373" s="4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">
      <c r="A374" s="4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">
      <c r="A375" s="4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">
      <c r="A376" s="4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">
      <c r="A377" s="4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">
      <c r="A378" s="4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">
      <c r="A379" s="4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">
      <c r="A380" s="4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">
      <c r="A381" s="4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">
      <c r="A382" s="4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">
      <c r="A383" s="4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">
      <c r="A384" s="4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">
      <c r="A385" s="4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">
      <c r="A386" s="4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">
      <c r="A387" s="4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">
      <c r="A388" s="4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">
      <c r="A389" s="4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">
      <c r="A390" s="4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">
      <c r="A391" s="4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">
      <c r="A392" s="4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">
      <c r="A393" s="4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">
      <c r="A394" s="4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">
      <c r="A395" s="4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">
      <c r="A396" s="4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">
      <c r="A397" s="4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">
      <c r="A398" s="4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">
      <c r="A399" s="4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">
      <c r="A400" s="4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">
      <c r="A401" s="4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">
      <c r="A402" s="4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">
      <c r="A403" s="4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">
      <c r="A404" s="4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">
      <c r="A405" s="4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">
      <c r="A406" s="4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">
      <c r="A407" s="4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">
      <c r="A408" s="4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">
      <c r="A409" s="4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">
      <c r="A410" s="4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">
      <c r="A411" s="4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">
      <c r="A412" s="4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">
      <c r="A413" s="4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">
      <c r="A414" s="4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">
      <c r="A415" s="4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">
      <c r="A416" s="4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">
      <c r="A417" s="4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">
      <c r="A418" s="4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">
      <c r="A419" s="4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">
      <c r="A420" s="4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">
      <c r="A421" s="4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">
      <c r="A422" s="4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">
      <c r="A423" s="4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">
      <c r="A424" s="4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">
      <c r="A425" s="4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">
      <c r="A426" s="4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">
      <c r="A427" s="4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">
      <c r="A428" s="4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">
      <c r="A429" s="4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">
      <c r="A430" s="4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">
      <c r="A431" s="4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">
      <c r="A432" s="4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">
      <c r="A433" s="4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">
      <c r="A434" s="4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">
      <c r="A435" s="4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">
      <c r="A436" s="4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">
      <c r="A437" s="4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">
      <c r="A438" s="4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">
      <c r="A439" s="4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">
      <c r="A440" s="4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">
      <c r="A441" s="4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">
      <c r="A442" s="4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">
      <c r="A443" s="4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">
      <c r="A444" s="4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">
      <c r="A445" s="4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">
      <c r="A446" s="4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">
      <c r="A447" s="4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">
      <c r="A448" s="4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">
      <c r="A449" s="4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">
      <c r="A450" s="4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">
      <c r="A451" s="4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">
      <c r="A452" s="4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">
      <c r="A453" s="4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">
      <c r="A454" s="4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">
      <c r="A455" s="4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">
      <c r="A456" s="4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">
      <c r="A457" s="4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">
      <c r="A458" s="4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">
      <c r="A459" s="4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">
      <c r="A460" s="4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">
      <c r="A461" s="4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">
      <c r="A462" s="4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">
      <c r="A463" s="4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">
      <c r="A464" s="4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">
      <c r="A465" s="4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">
      <c r="A466" s="4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">
      <c r="A467" s="4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">
      <c r="A468" s="4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">
      <c r="A469" s="4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">
      <c r="A470" s="4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">
      <c r="A471" s="4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">
      <c r="A472" s="4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">
      <c r="A473" s="4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">
      <c r="A474" s="4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">
      <c r="A475" s="4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">
      <c r="A476" s="4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">
      <c r="A477" s="4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">
      <c r="A478" s="4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">
      <c r="A479" s="4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">
      <c r="A480" s="4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">
      <c r="A481" s="4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">
      <c r="A482" s="4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">
      <c r="A483" s="4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">
      <c r="A484" s="4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">
      <c r="A485" s="4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">
      <c r="A486" s="4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">
      <c r="A487" s="4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">
      <c r="A488" s="4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">
      <c r="A489" s="4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">
      <c r="A490" s="4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">
      <c r="A491" s="4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">
      <c r="A492" s="4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">
      <c r="A493" s="4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">
      <c r="A494" s="4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">
      <c r="A495" s="4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">
      <c r="A496" s="4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">
      <c r="A497" s="4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">
      <c r="A498" s="4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">
      <c r="A499" s="4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">
      <c r="A500" s="4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">
      <c r="A501" s="4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">
      <c r="A502" s="4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">
      <c r="A503" s="4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">
      <c r="A504" s="4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">
      <c r="A505" s="4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">
      <c r="A506" s="4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">
      <c r="A507" s="4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">
      <c r="A508" s="4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">
      <c r="A509" s="4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">
      <c r="A510" s="4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">
      <c r="A511" s="4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">
      <c r="A512" s="4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">
      <c r="A513" s="4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">
      <c r="A514" s="4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">
      <c r="A515" s="4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">
      <c r="A516" s="4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">
      <c r="A517" s="4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">
      <c r="A518" s="4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">
      <c r="A519" s="4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">
      <c r="A520" s="4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">
      <c r="A521" s="4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">
      <c r="A522" s="4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">
      <c r="A523" s="4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">
      <c r="A524" s="4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">
      <c r="A525" s="4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">
      <c r="A526" s="4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">
      <c r="A527" s="4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">
      <c r="A528" s="4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">
      <c r="A529" s="4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">
      <c r="A530" s="4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">
      <c r="A531" s="4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">
      <c r="A532" s="4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">
      <c r="A533" s="4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">
      <c r="A534" s="4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">
      <c r="A535" s="4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">
      <c r="A536" s="4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">
      <c r="A537" s="4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">
      <c r="A538" s="4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">
      <c r="A539" s="4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">
      <c r="A540" s="4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">
      <c r="A541" s="4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">
      <c r="A542" s="4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">
      <c r="A543" s="4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">
      <c r="A544" s="4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">
      <c r="A545" s="4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">
      <c r="A546" s="4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">
      <c r="A547" s="4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">
      <c r="A548" s="4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">
      <c r="A549" s="4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">
      <c r="A550" s="4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">
      <c r="A551" s="4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">
      <c r="A552" s="4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">
      <c r="A553" s="4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">
      <c r="A554" s="4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">
      <c r="A555" s="4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">
      <c r="A556" s="4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">
      <c r="A557" s="4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">
      <c r="A558" s="4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">
      <c r="A559" s="4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">
      <c r="A560" s="4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">
      <c r="A561" s="4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">
      <c r="A562" s="4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">
      <c r="A563" s="4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">
      <c r="A564" s="4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">
      <c r="A565" s="4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">
      <c r="A566" s="4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">
      <c r="A567" s="4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">
      <c r="A568" s="4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">
      <c r="A569" s="4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">
      <c r="A570" s="4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">
      <c r="A571" s="4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">
      <c r="A572" s="4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">
      <c r="A573" s="4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">
      <c r="A574" s="4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">
      <c r="A575" s="4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">
      <c r="A576" s="4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">
      <c r="A577" s="4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">
      <c r="A578" s="4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">
      <c r="A579" s="4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">
      <c r="A580" s="4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">
      <c r="A581" s="4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">
      <c r="A582" s="4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">
      <c r="A583" s="4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">
      <c r="A584" s="4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">
      <c r="A585" s="4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">
      <c r="A586" s="4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">
      <c r="A587" s="4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">
      <c r="A588" s="4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">
      <c r="A589" s="4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">
      <c r="A590" s="4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">
      <c r="A591" s="4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">
      <c r="A592" s="4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">
      <c r="A593" s="4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">
      <c r="A594" s="4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">
      <c r="A595" s="4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">
      <c r="A596" s="4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">
      <c r="A597" s="4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">
      <c r="A598" s="4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">
      <c r="A599" s="4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">
      <c r="A600" s="4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">
      <c r="A601" s="4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">
      <c r="A602" s="4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">
      <c r="A603" s="4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">
      <c r="A604" s="4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">
      <c r="A605" s="4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">
      <c r="A606" s="4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">
      <c r="A607" s="4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">
      <c r="A608" s="4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">
      <c r="A609" s="4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">
      <c r="A610" s="4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">
      <c r="A611" s="4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">
      <c r="A612" s="4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">
      <c r="A613" s="4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">
      <c r="A614" s="4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">
      <c r="A615" s="4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">
      <c r="A616" s="4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">
      <c r="A617" s="4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">
      <c r="A618" s="4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">
      <c r="A619" s="4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">
      <c r="A620" s="4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">
      <c r="A621" s="4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">
      <c r="A622" s="4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">
      <c r="A623" s="4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">
      <c r="A624" s="4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">
      <c r="A625" s="4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">
      <c r="A626" s="4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">
      <c r="A627" s="4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">
      <c r="A628" s="4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">
      <c r="A629" s="4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">
      <c r="A630" s="4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">
      <c r="A631" s="4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">
      <c r="A632" s="4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">
      <c r="A633" s="4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">
      <c r="A634" s="4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">
      <c r="A635" s="4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">
      <c r="A636" s="4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">
      <c r="A637" s="4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">
      <c r="A638" s="4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">
      <c r="A639" s="4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">
      <c r="A640" s="4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">
      <c r="A641" s="4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">
      <c r="A642" s="4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">
      <c r="A643" s="4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">
      <c r="A644" s="4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">
      <c r="A645" s="4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">
      <c r="A646" s="4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">
      <c r="A647" s="4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">
      <c r="A648" s="4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">
      <c r="A649" s="4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">
      <c r="A650" s="4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">
      <c r="A651" s="4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">
      <c r="A652" s="4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">
      <c r="A653" s="4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">
      <c r="A654" s="4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">
      <c r="A655" s="4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">
      <c r="A656" s="4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">
      <c r="A657" s="4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">
      <c r="A658" s="4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">
      <c r="A659" s="4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">
      <c r="A660" s="4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">
      <c r="A661" s="4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">
      <c r="A662" s="4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">
      <c r="A663" s="4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">
      <c r="A664" s="4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">
      <c r="A665" s="4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">
      <c r="A666" s="4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">
      <c r="A667" s="4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">
      <c r="A668" s="4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">
      <c r="A669" s="4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">
      <c r="A670" s="4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">
      <c r="A671" s="4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">
      <c r="A672" s="4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">
      <c r="A673" s="4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">
      <c r="A674" s="4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">
      <c r="A675" s="4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">
      <c r="A676" s="4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">
      <c r="A677" s="4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">
      <c r="A678" s="4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">
      <c r="A679" s="4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">
      <c r="A680" s="4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">
      <c r="A681" s="4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">
      <c r="A682" s="4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">
      <c r="A683" s="4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">
      <c r="A684" s="4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">
      <c r="A685" s="4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">
      <c r="A686" s="4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">
      <c r="A687" s="4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">
      <c r="A688" s="4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">
      <c r="A689" s="4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">
      <c r="A690" s="4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">
      <c r="A691" s="4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">
      <c r="A692" s="4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">
      <c r="A693" s="4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">
      <c r="A694" s="4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">
      <c r="A695" s="4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">
      <c r="A696" s="4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">
      <c r="A697" s="4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">
      <c r="A698" s="4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">
      <c r="A699" s="4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">
      <c r="A700" s="4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">
      <c r="A701" s="4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">
      <c r="A702" s="4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">
      <c r="A703" s="4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">
      <c r="A704" s="4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">
      <c r="A705" s="4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">
      <c r="A706" s="4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">
      <c r="A707" s="4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">
      <c r="A708" s="4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">
      <c r="A709" s="4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">
      <c r="A710" s="4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">
      <c r="A711" s="4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">
      <c r="A712" s="4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">
      <c r="A713" s="4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">
      <c r="A714" s="4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">
      <c r="A715" s="4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">
      <c r="A716" s="4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">
      <c r="A717" s="4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">
      <c r="A718" s="4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">
      <c r="A719" s="4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">
      <c r="A720" s="4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">
      <c r="A721" s="4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">
      <c r="A722" s="4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">
      <c r="A723" s="4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">
      <c r="A724" s="4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">
      <c r="A725" s="4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">
      <c r="A726" s="4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">
      <c r="A727" s="4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">
      <c r="A728" s="4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">
      <c r="A729" s="4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">
      <c r="A730" s="4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">
      <c r="A731" s="4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">
      <c r="A732" s="4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">
      <c r="A733" s="4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">
      <c r="A734" s="4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">
      <c r="A735" s="4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">
      <c r="A736" s="4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">
      <c r="A737" s="4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">
      <c r="A738" s="4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">
      <c r="A739" s="4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">
      <c r="A740" s="4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">
      <c r="A741" s="4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">
      <c r="A742" s="4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">
      <c r="A743" s="4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">
      <c r="A744" s="4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">
      <c r="A745" s="4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">
      <c r="A746" s="4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">
      <c r="A747" s="4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">
      <c r="A748" s="4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">
      <c r="A749" s="4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">
      <c r="A750" s="4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">
      <c r="A751" s="4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">
      <c r="A752" s="4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">
      <c r="A753" s="4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">
      <c r="A754" s="4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">
      <c r="A755" s="4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">
      <c r="A756" s="4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">
      <c r="A757" s="4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">
      <c r="A758" s="4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">
      <c r="A759" s="4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">
      <c r="A760" s="4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">
      <c r="A761" s="4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">
      <c r="A762" s="4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">
      <c r="A763" s="4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">
      <c r="A764" s="4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">
      <c r="A765" s="4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">
      <c r="A766" s="4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">
      <c r="A767" s="4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">
      <c r="A768" s="4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">
      <c r="A769" s="4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">
      <c r="A770" s="4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">
      <c r="A771" s="4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">
      <c r="A772" s="4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">
      <c r="A773" s="4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">
      <c r="A774" s="4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">
      <c r="A775" s="4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">
      <c r="A776" s="4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">
      <c r="A777" s="4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">
      <c r="A778" s="4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">
      <c r="A779" s="4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">
      <c r="A780" s="4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">
      <c r="A781" s="4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">
      <c r="A782" s="4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">
      <c r="A783" s="4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">
      <c r="A784" s="4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">
      <c r="A785" s="4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">
      <c r="A786" s="4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">
      <c r="A787" s="4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">
      <c r="A788" s="4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">
      <c r="A789" s="4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">
      <c r="A790" s="4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">
      <c r="A791" s="4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">
      <c r="A792" s="4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">
      <c r="A793" s="4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">
      <c r="A794" s="4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">
      <c r="A795" s="4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">
      <c r="A796" s="4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">
      <c r="A797" s="4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">
      <c r="A798" s="4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">
      <c r="A799" s="4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">
      <c r="A800" s="4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">
      <c r="A801" s="4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">
      <c r="A802" s="4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">
      <c r="A803" s="4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">
      <c r="A804" s="4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">
      <c r="A805" s="4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">
      <c r="A806" s="4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">
      <c r="A807" s="4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">
      <c r="A808" s="4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">
      <c r="A809" s="4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">
      <c r="A810" s="4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">
      <c r="A811" s="4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">
      <c r="A812" s="4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">
      <c r="A813" s="4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">
      <c r="A814" s="4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">
      <c r="A815" s="4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">
      <c r="A816" s="4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">
      <c r="A817" s="4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">
      <c r="A818" s="4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">
      <c r="A819" s="4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">
      <c r="A820" s="4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">
      <c r="A821" s="4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">
      <c r="A822" s="4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">
      <c r="A823" s="4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">
      <c r="A824" s="4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">
      <c r="A825" s="4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">
      <c r="A826" s="4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">
      <c r="A827" s="4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">
      <c r="A828" s="4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">
      <c r="A829" s="4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">
      <c r="A830" s="4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">
      <c r="A831" s="4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">
      <c r="A832" s="4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">
      <c r="A833" s="4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">
      <c r="A834" s="4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">
      <c r="A835" s="4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">
      <c r="A836" s="4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">
      <c r="A837" s="4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">
      <c r="A838" s="4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">
      <c r="A839" s="4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">
      <c r="A840" s="4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">
      <c r="A841" s="4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">
      <c r="A842" s="4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">
      <c r="A843" s="4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">
      <c r="A844" s="4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">
      <c r="A845" s="4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">
      <c r="A846" s="4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">
      <c r="A847" s="4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">
      <c r="A848" s="4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">
      <c r="A849" s="4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">
      <c r="A850" s="4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">
      <c r="A851" s="4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">
      <c r="A852" s="4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">
      <c r="A853" s="4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">
      <c r="A854" s="4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">
      <c r="A855" s="4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">
      <c r="A856" s="4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">
      <c r="A857" s="4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">
      <c r="A858" s="4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">
      <c r="A859" s="4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">
      <c r="A860" s="4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">
      <c r="A861" s="4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">
      <c r="A862" s="4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">
      <c r="A863" s="4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">
      <c r="A864" s="4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">
      <c r="A865" s="4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">
      <c r="A866" s="4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">
      <c r="A867" s="4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">
      <c r="A868" s="4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">
      <c r="A869" s="4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">
      <c r="A870" s="4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">
      <c r="A871" s="4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">
      <c r="A872" s="4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">
      <c r="A873" s="4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">
      <c r="A874" s="4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">
      <c r="A875" s="4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">
      <c r="A876" s="4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">
      <c r="A877" s="4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">
      <c r="A878" s="4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">
      <c r="A879" s="4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">
      <c r="A880" s="4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">
      <c r="A881" s="4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">
      <c r="A882" s="4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">
      <c r="A883" s="4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">
      <c r="A884" s="4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">
      <c r="A885" s="4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">
      <c r="A886" s="4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">
      <c r="A887" s="4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">
      <c r="A888" s="4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">
      <c r="A889" s="4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">
      <c r="A890" s="4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">
      <c r="A891" s="4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">
      <c r="A892" s="4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">
      <c r="A893" s="4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">
      <c r="A894" s="4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">
      <c r="A895" s="4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">
      <c r="A896" s="4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">
      <c r="A897" s="4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">
      <c r="A898" s="4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">
      <c r="A899" s="4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">
      <c r="A900" s="4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">
      <c r="A901" s="4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">
      <c r="A902" s="4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">
      <c r="A903" s="4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">
      <c r="A904" s="4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">
      <c r="A905" s="4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">
      <c r="A906" s="4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">
      <c r="A907" s="4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">
      <c r="A908" s="4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">
      <c r="A909" s="4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">
      <c r="A910" s="4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">
      <c r="A911" s="4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">
      <c r="A912" s="4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">
      <c r="A913" s="4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">
      <c r="A914" s="4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">
      <c r="A915" s="4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">
      <c r="A916" s="4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">
      <c r="A917" s="4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">
      <c r="A918" s="4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">
      <c r="A919" s="4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">
      <c r="A920" s="4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">
      <c r="A921" s="4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">
      <c r="A922" s="4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">
      <c r="A923" s="4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">
      <c r="A924" s="4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">
      <c r="A925" s="4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">
      <c r="A926" s="4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">
      <c r="A927" s="4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">
      <c r="A928" s="4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">
      <c r="A929" s="4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">
      <c r="A930" s="4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">
      <c r="A931" s="4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">
      <c r="A932" s="4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">
      <c r="A933" s="4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">
      <c r="A934" s="4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">
      <c r="A935" s="4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">
      <c r="A936" s="4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">
      <c r="A937" s="4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">
      <c r="A938" s="4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">
      <c r="A939" s="4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">
      <c r="A940" s="4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">
      <c r="A941" s="4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">
      <c r="A942" s="4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">
      <c r="A943" s="4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">
      <c r="A944" s="4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">
      <c r="A945" s="4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">
      <c r="A946" s="4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">
      <c r="A947" s="4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">
      <c r="A948" s="4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">
      <c r="A949" s="4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">
      <c r="A950" s="4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">
      <c r="A951" s="4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">
      <c r="A952" s="4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">
      <c r="A953" s="4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">
      <c r="A954" s="4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">
      <c r="A955" s="4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">
      <c r="A956" s="4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">
      <c r="A957" s="4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">
      <c r="A958" s="4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">
      <c r="A959" s="4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">
      <c r="A960" s="4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">
      <c r="A961" s="4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">
      <c r="A962" s="4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">
      <c r="A963" s="4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">
      <c r="A964" s="4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">
      <c r="A965" s="4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">
      <c r="A966" s="4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">
      <c r="A967" s="4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">
      <c r="A968" s="4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">
      <c r="A969" s="4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">
      <c r="A970" s="4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">
      <c r="A971" s="4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">
      <c r="A972" s="4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">
      <c r="A973" s="4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">
      <c r="A974" s="4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">
      <c r="A975" s="4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">
      <c r="A976" s="4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">
      <c r="A977" s="4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">
      <c r="A978" s="4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">
      <c r="A979" s="4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">
      <c r="A980" s="4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">
      <c r="A981" s="4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">
      <c r="A982" s="4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">
      <c r="A983" s="4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">
      <c r="A984" s="4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">
      <c r="A985" s="4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">
      <c r="A986" s="4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">
      <c r="A987" s="4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">
      <c r="A988" s="4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">
      <c r="A989" s="4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">
      <c r="A990" s="4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">
      <c r="A991" s="4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">
      <c r="A992" s="4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">
      <c r="A993" s="4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">
      <c r="A994" s="4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">
      <c r="A995" s="4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">
      <c r="A996" s="4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">
      <c r="A997" s="4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">
      <c r="A998" s="4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">
      <c r="A999" s="4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x14ac:dyDescent="0.2">
      <c r="A1000" s="4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x14ac:dyDescent="0.2">
      <c r="A1001" s="4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x14ac:dyDescent="0.2">
      <c r="A1002" s="4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 x14ac:dyDescent="0.2">
      <c r="A1003" s="4"/>
      <c r="B1003" s="5"/>
      <c r="C1003" s="5"/>
      <c r="D1003" s="5"/>
      <c r="E1003" s="5"/>
      <c r="F1003" s="5"/>
      <c r="G1003" s="5"/>
      <c r="H1003" s="5"/>
      <c r="I1003" s="5"/>
      <c r="J1003" s="5"/>
    </row>
  </sheetData>
  <autoFilter ref="A1:K101" xr:uid="{00000000-0001-0000-0000-000000000000}">
    <filterColumn colId="10">
      <filters>
        <filter val="18–21"/>
        <filter val="22–25"/>
        <filter val="26–30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7485-194F-B642-B1E9-CA806284DE18}">
  <dimension ref="A3:G9"/>
  <sheetViews>
    <sheetView workbookViewId="0">
      <selection activeCell="E44" sqref="E44"/>
    </sheetView>
  </sheetViews>
  <sheetFormatPr baseColWidth="10" defaultRowHeight="15" x14ac:dyDescent="0.2"/>
  <cols>
    <col min="1" max="1" width="26.33203125" bestFit="1" customWidth="1"/>
    <col min="2" max="2" width="19.1640625" bestFit="1" customWidth="1"/>
    <col min="3" max="3" width="12.33203125" bestFit="1" customWidth="1"/>
    <col min="4" max="4" width="8.5" bestFit="1" customWidth="1"/>
    <col min="5" max="5" width="8.6640625" bestFit="1" customWidth="1"/>
    <col min="6" max="6" width="9.1640625" bestFit="1" customWidth="1"/>
    <col min="7" max="7" width="10.6640625" bestFit="1" customWidth="1"/>
  </cols>
  <sheetData>
    <row r="3" spans="1:7" x14ac:dyDescent="0.2">
      <c r="A3" s="6" t="s">
        <v>23</v>
      </c>
      <c r="B3" s="6" t="s">
        <v>21</v>
      </c>
    </row>
    <row r="4" spans="1:7" x14ac:dyDescent="0.2">
      <c r="A4" s="6" t="s">
        <v>15</v>
      </c>
      <c r="B4" t="s">
        <v>5</v>
      </c>
      <c r="C4" t="s">
        <v>6</v>
      </c>
      <c r="D4" t="s">
        <v>3</v>
      </c>
      <c r="E4" t="s">
        <v>4</v>
      </c>
      <c r="F4" t="s">
        <v>2</v>
      </c>
      <c r="G4" t="s">
        <v>19</v>
      </c>
    </row>
    <row r="5" spans="1:7" x14ac:dyDescent="0.2">
      <c r="A5" s="7" t="s">
        <v>16</v>
      </c>
      <c r="B5" s="8">
        <v>4</v>
      </c>
      <c r="C5" s="8">
        <v>9</v>
      </c>
      <c r="D5" s="8">
        <v>1</v>
      </c>
      <c r="E5" s="8">
        <v>1</v>
      </c>
      <c r="F5" s="8">
        <v>4</v>
      </c>
      <c r="G5" s="8">
        <v>19</v>
      </c>
    </row>
    <row r="6" spans="1:7" x14ac:dyDescent="0.2">
      <c r="A6" s="7" t="s">
        <v>17</v>
      </c>
      <c r="B6" s="8">
        <v>3</v>
      </c>
      <c r="C6" s="8">
        <v>2</v>
      </c>
      <c r="D6" s="8"/>
      <c r="E6" s="8">
        <v>2</v>
      </c>
      <c r="F6" s="8">
        <v>1</v>
      </c>
      <c r="G6" s="8">
        <v>8</v>
      </c>
    </row>
    <row r="7" spans="1:7" x14ac:dyDescent="0.2">
      <c r="A7" s="7" t="s">
        <v>18</v>
      </c>
      <c r="B7" s="8">
        <v>3</v>
      </c>
      <c r="C7" s="8">
        <v>4</v>
      </c>
      <c r="D7" s="8"/>
      <c r="E7" s="8">
        <v>2</v>
      </c>
      <c r="F7" s="8">
        <v>5</v>
      </c>
      <c r="G7" s="8">
        <v>14</v>
      </c>
    </row>
    <row r="8" spans="1:7" x14ac:dyDescent="0.2">
      <c r="A8" s="7" t="s">
        <v>22</v>
      </c>
      <c r="B8" s="8">
        <v>16</v>
      </c>
      <c r="C8" s="8">
        <v>10</v>
      </c>
      <c r="D8" s="8">
        <v>9</v>
      </c>
      <c r="E8" s="8">
        <v>13</v>
      </c>
      <c r="F8" s="8">
        <v>11</v>
      </c>
      <c r="G8" s="8">
        <v>59</v>
      </c>
    </row>
    <row r="9" spans="1:7" x14ac:dyDescent="0.2">
      <c r="A9" s="7" t="s">
        <v>19</v>
      </c>
      <c r="B9" s="8">
        <v>26</v>
      </c>
      <c r="C9" s="8">
        <v>25</v>
      </c>
      <c r="D9" s="8">
        <v>10</v>
      </c>
      <c r="E9" s="8">
        <v>18</v>
      </c>
      <c r="F9" s="8">
        <v>21</v>
      </c>
      <c r="G9" s="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30C6-7642-6446-9F75-3386CEBA2359}">
  <dimension ref="A3:E10"/>
  <sheetViews>
    <sheetView workbookViewId="0">
      <selection activeCell="B12" sqref="B12"/>
    </sheetView>
  </sheetViews>
  <sheetFormatPr baseColWidth="10" defaultRowHeight="15" x14ac:dyDescent="0.2"/>
  <cols>
    <col min="1" max="1" width="34.1640625" bestFit="1" customWidth="1"/>
    <col min="2" max="2" width="19.1640625" bestFit="1" customWidth="1"/>
    <col min="3" max="5" width="12.1640625" bestFit="1" customWidth="1"/>
  </cols>
  <sheetData>
    <row r="3" spans="1:5" x14ac:dyDescent="0.2">
      <c r="A3" s="6" t="s">
        <v>20</v>
      </c>
      <c r="B3" s="6" t="s">
        <v>21</v>
      </c>
    </row>
    <row r="4" spans="1:5" x14ac:dyDescent="0.2">
      <c r="A4" s="6" t="s">
        <v>11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s="7" t="s">
        <v>5</v>
      </c>
      <c r="B5" s="8">
        <v>4.75</v>
      </c>
      <c r="C5" s="8">
        <v>4.666666666666667</v>
      </c>
      <c r="D5" s="8">
        <v>4</v>
      </c>
      <c r="E5" s="8">
        <v>4.5</v>
      </c>
    </row>
    <row r="6" spans="1:5" x14ac:dyDescent="0.2">
      <c r="A6" s="7" t="s">
        <v>6</v>
      </c>
      <c r="B6" s="8">
        <v>4.4444444444444446</v>
      </c>
      <c r="C6" s="8">
        <v>4</v>
      </c>
      <c r="D6" s="8">
        <v>5</v>
      </c>
      <c r="E6" s="8">
        <v>4.5333333333333332</v>
      </c>
    </row>
    <row r="7" spans="1:5" x14ac:dyDescent="0.2">
      <c r="A7" s="7" t="s">
        <v>3</v>
      </c>
      <c r="B7" s="8">
        <v>5</v>
      </c>
      <c r="C7" s="8"/>
      <c r="D7" s="8"/>
      <c r="E7" s="8">
        <v>5</v>
      </c>
    </row>
    <row r="8" spans="1:5" x14ac:dyDescent="0.2">
      <c r="A8" s="7" t="s">
        <v>4</v>
      </c>
      <c r="B8" s="8">
        <v>4</v>
      </c>
      <c r="C8" s="8">
        <v>4.5</v>
      </c>
      <c r="D8" s="8">
        <v>5</v>
      </c>
      <c r="E8" s="8">
        <v>4.5999999999999996</v>
      </c>
    </row>
    <row r="9" spans="1:5" x14ac:dyDescent="0.2">
      <c r="A9" s="7" t="s">
        <v>2</v>
      </c>
      <c r="B9" s="8">
        <v>4.75</v>
      </c>
      <c r="C9" s="8">
        <v>5</v>
      </c>
      <c r="D9" s="8">
        <v>4.8</v>
      </c>
      <c r="E9" s="8">
        <v>4.8</v>
      </c>
    </row>
    <row r="10" spans="1:5" x14ac:dyDescent="0.2">
      <c r="A10" s="7" t="s">
        <v>19</v>
      </c>
      <c r="B10" s="8">
        <v>4.5789473684210522</v>
      </c>
      <c r="C10" s="8">
        <v>4.5</v>
      </c>
      <c r="D10" s="8">
        <v>4.7142857142857144</v>
      </c>
      <c r="E10" s="8">
        <v>4.6097560975609753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5CB7-8749-D34C-BBBC-007094C30918}">
  <dimension ref="A3:E7"/>
  <sheetViews>
    <sheetView workbookViewId="0">
      <selection activeCell="E31" sqref="E31"/>
    </sheetView>
  </sheetViews>
  <sheetFormatPr baseColWidth="10" defaultRowHeight="15" x14ac:dyDescent="0.2"/>
  <cols>
    <col min="1" max="1" width="16" bestFit="1" customWidth="1"/>
    <col min="2" max="2" width="27.1640625" bestFit="1" customWidth="1"/>
    <col min="3" max="3" width="51.1640625" bestFit="1" customWidth="1"/>
    <col min="4" max="4" width="34.1640625" bestFit="1" customWidth="1"/>
    <col min="5" max="5" width="43.83203125" bestFit="1" customWidth="1"/>
  </cols>
  <sheetData>
    <row r="3" spans="1:5" x14ac:dyDescent="0.2">
      <c r="A3" s="6" t="s">
        <v>15</v>
      </c>
      <c r="B3" t="s">
        <v>24</v>
      </c>
      <c r="C3" t="s">
        <v>25</v>
      </c>
      <c r="D3" t="s">
        <v>20</v>
      </c>
      <c r="E3" t="s">
        <v>26</v>
      </c>
    </row>
    <row r="4" spans="1:5" x14ac:dyDescent="0.2">
      <c r="A4" s="7" t="s">
        <v>16</v>
      </c>
      <c r="B4" s="8">
        <v>4.5263157894736841</v>
      </c>
      <c r="C4" s="8">
        <v>4.3157894736842106</v>
      </c>
      <c r="D4" s="8">
        <v>4.5789473684210522</v>
      </c>
      <c r="E4" s="8">
        <v>4.1052631578947372</v>
      </c>
    </row>
    <row r="5" spans="1:5" x14ac:dyDescent="0.2">
      <c r="A5" s="7" t="s">
        <v>17</v>
      </c>
      <c r="B5" s="8">
        <v>5</v>
      </c>
      <c r="C5" s="8">
        <v>4.625</v>
      </c>
      <c r="D5" s="8">
        <v>4.5</v>
      </c>
      <c r="E5" s="8">
        <v>4</v>
      </c>
    </row>
    <row r="6" spans="1:5" x14ac:dyDescent="0.2">
      <c r="A6" s="7" t="s">
        <v>18</v>
      </c>
      <c r="B6" s="8">
        <v>4.6428571428571432</v>
      </c>
      <c r="C6" s="8">
        <v>4.2857142857142856</v>
      </c>
      <c r="D6" s="8">
        <v>4.7142857142857144</v>
      </c>
      <c r="E6" s="8">
        <v>3.8571428571428572</v>
      </c>
    </row>
    <row r="7" spans="1:5" x14ac:dyDescent="0.2">
      <c r="A7" s="7" t="s">
        <v>19</v>
      </c>
      <c r="B7" s="8">
        <v>4.6585365853658534</v>
      </c>
      <c r="C7" s="8">
        <v>4.3658536585365857</v>
      </c>
      <c r="D7" s="8">
        <v>4.6097560975609753</v>
      </c>
      <c r="E7" s="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78C4-584D-ED48-A356-48F24C195515}">
  <dimension ref="A1:BK31"/>
  <sheetViews>
    <sheetView showGridLines="0" zoomScaleNormal="60" workbookViewId="0">
      <pane xSplit="4" ySplit="5" topLeftCell="E8" activePane="bottomRight" state="frozen"/>
      <selection pane="topRight" activeCell="E1" sqref="E1"/>
      <selection pane="bottomLeft" activeCell="A7" sqref="A7"/>
      <selection pane="bottomRight" activeCell="AR15" sqref="AR15"/>
    </sheetView>
  </sheetViews>
  <sheetFormatPr baseColWidth="10" defaultColWidth="8.83203125" defaultRowHeight="15" x14ac:dyDescent="0.2"/>
  <cols>
    <col min="1" max="1" width="37.33203125" style="9" bestFit="1" customWidth="1"/>
    <col min="2" max="2" width="15.33203125" style="9" bestFit="1" customWidth="1"/>
    <col min="3" max="3" width="19.83203125" style="9" bestFit="1" customWidth="1"/>
    <col min="4" max="4" width="17.1640625" style="9" bestFit="1" customWidth="1"/>
    <col min="5" max="63" width="3.5" style="10" customWidth="1"/>
    <col min="64" max="16384" width="8.83203125" style="9"/>
  </cols>
  <sheetData>
    <row r="1" spans="1:63" x14ac:dyDescent="0.2">
      <c r="A1" s="26" t="s">
        <v>27</v>
      </c>
      <c r="B1" s="27" t="s">
        <v>28</v>
      </c>
      <c r="C1" s="27"/>
    </row>
    <row r="2" spans="1:63" x14ac:dyDescent="0.2">
      <c r="A2" s="26" t="s">
        <v>29</v>
      </c>
      <c r="B2" s="25">
        <v>46054</v>
      </c>
      <c r="C2" s="25"/>
    </row>
    <row r="3" spans="1:63" s="19" customFormat="1" ht="16" customHeight="1" x14ac:dyDescent="0.2">
      <c r="A3" s="21" t="s">
        <v>30</v>
      </c>
      <c r="B3" s="21" t="s">
        <v>31</v>
      </c>
      <c r="C3" s="21" t="s">
        <v>32</v>
      </c>
      <c r="D3" s="21" t="s">
        <v>33</v>
      </c>
      <c r="E3" s="24" t="s">
        <v>34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63" s="22" customFormat="1" x14ac:dyDescent="0.2">
      <c r="A4" s="21"/>
      <c r="B4" s="21"/>
      <c r="C4" s="21"/>
      <c r="D4" s="21"/>
      <c r="E4" s="23">
        <f>B2</f>
        <v>46054</v>
      </c>
      <c r="F4" s="23">
        <f>E4+1</f>
        <v>46055</v>
      </c>
      <c r="G4" s="23">
        <f>F4+1</f>
        <v>46056</v>
      </c>
      <c r="H4" s="23">
        <f>G4+1</f>
        <v>46057</v>
      </c>
      <c r="I4" s="23">
        <f>H4+1</f>
        <v>46058</v>
      </c>
      <c r="J4" s="23">
        <f>I4+1</f>
        <v>46059</v>
      </c>
      <c r="K4" s="23">
        <f>J4+1</f>
        <v>46060</v>
      </c>
      <c r="L4" s="23">
        <f>K4+1</f>
        <v>46061</v>
      </c>
      <c r="M4" s="23">
        <f>L4+1</f>
        <v>46062</v>
      </c>
      <c r="N4" s="23">
        <f>M4+1</f>
        <v>46063</v>
      </c>
      <c r="O4" s="23">
        <f>N4+1</f>
        <v>46064</v>
      </c>
      <c r="P4" s="23">
        <f>O4+1</f>
        <v>46065</v>
      </c>
      <c r="Q4" s="23">
        <f>P4+1</f>
        <v>46066</v>
      </c>
      <c r="R4" s="23">
        <f>Q4+1</f>
        <v>46067</v>
      </c>
      <c r="S4" s="23">
        <f>R4+1</f>
        <v>46068</v>
      </c>
      <c r="T4" s="23">
        <f>S4+1</f>
        <v>46069</v>
      </c>
      <c r="U4" s="23">
        <f>T4+1</f>
        <v>46070</v>
      </c>
      <c r="V4" s="23">
        <f>U4+1</f>
        <v>46071</v>
      </c>
      <c r="W4" s="23">
        <f>V4+1</f>
        <v>46072</v>
      </c>
      <c r="X4" s="23">
        <f>W4+1</f>
        <v>46073</v>
      </c>
      <c r="Y4" s="23">
        <f>X4+1</f>
        <v>46074</v>
      </c>
      <c r="Z4" s="23">
        <f>Y4+1</f>
        <v>46075</v>
      </c>
      <c r="AA4" s="23">
        <f>Z4+1</f>
        <v>46076</v>
      </c>
      <c r="AB4" s="23">
        <f>AA4+1</f>
        <v>46077</v>
      </c>
      <c r="AC4" s="23">
        <f>AB4+1</f>
        <v>46078</v>
      </c>
      <c r="AD4" s="23">
        <f>AC4+1</f>
        <v>46079</v>
      </c>
      <c r="AE4" s="23">
        <f>AD4+1</f>
        <v>46080</v>
      </c>
      <c r="AF4" s="23">
        <f>AE4+1</f>
        <v>46081</v>
      </c>
    </row>
    <row r="5" spans="1:63" s="19" customFormat="1" x14ac:dyDescent="0.2">
      <c r="A5" s="21"/>
      <c r="B5" s="21"/>
      <c r="C5" s="21"/>
      <c r="D5" s="21"/>
      <c r="E5" s="20" t="str">
        <f>CHOOSE(WEEKDAY(E4,2),"Mon","Tue","Wed","Thu","Fri","Sat","Sun")</f>
        <v>Sun</v>
      </c>
      <c r="F5" s="20" t="str">
        <f>CHOOSE(WEEKDAY(F4,2),"Mon","Tue","Wed","Thu","Fri","Sat","Sun")</f>
        <v>Mon</v>
      </c>
      <c r="G5" s="20" t="str">
        <f>CHOOSE(WEEKDAY(G4,2),"Mon","Tue","Wed","Thu","Fri","Sat","Sun")</f>
        <v>Tue</v>
      </c>
      <c r="H5" s="20" t="str">
        <f>CHOOSE(WEEKDAY(H4,2),"Mon","Tue","Wed","Thu","Fri","Sat","Sun")</f>
        <v>Wed</v>
      </c>
      <c r="I5" s="20" t="str">
        <f>CHOOSE(WEEKDAY(I4,2),"Mon","Tue","Wed","Thu","Fri","Sat","Sun")</f>
        <v>Thu</v>
      </c>
      <c r="J5" s="20" t="str">
        <f>CHOOSE(WEEKDAY(J4,2),"Mon","Tue","Wed","Thu","Fri","Sat","Sun")</f>
        <v>Fri</v>
      </c>
      <c r="K5" s="20" t="str">
        <f>CHOOSE(WEEKDAY(K4,2),"Mon","Tue","Wed","Thu","Fri","Sat","Sun")</f>
        <v>Sat</v>
      </c>
      <c r="L5" s="20" t="str">
        <f>CHOOSE(WEEKDAY(L4,2),"Mon","Tue","Wed","Thu","Fri","Sat","Sun")</f>
        <v>Sun</v>
      </c>
      <c r="M5" s="20" t="str">
        <f>CHOOSE(WEEKDAY(M4,2),"Mon","Tue","Wed","Thu","Fri","Sat","Sun")</f>
        <v>Mon</v>
      </c>
      <c r="N5" s="20" t="str">
        <f>CHOOSE(WEEKDAY(N4,2),"Mon","Tue","Wed","Thu","Fri","Sat","Sun")</f>
        <v>Tue</v>
      </c>
      <c r="O5" s="20" t="str">
        <f>CHOOSE(WEEKDAY(O4,2),"Mon","Tue","Wed","Thu","Fri","Sat","Sun")</f>
        <v>Wed</v>
      </c>
      <c r="P5" s="20" t="str">
        <f>CHOOSE(WEEKDAY(P4,2),"Mon","Tue","Wed","Thu","Fri","Sat","Sun")</f>
        <v>Thu</v>
      </c>
      <c r="Q5" s="20" t="str">
        <f>CHOOSE(WEEKDAY(Q4,2),"Mon","Tue","Wed","Thu","Fri","Sat","Sun")</f>
        <v>Fri</v>
      </c>
      <c r="R5" s="20" t="str">
        <f>CHOOSE(WEEKDAY(R4,2),"Mon","Tue","Wed","Thu","Fri","Sat","Sun")</f>
        <v>Sat</v>
      </c>
      <c r="S5" s="20" t="str">
        <f>CHOOSE(WEEKDAY(S4,2),"Mon","Tue","Wed","Thu","Fri","Sat","Sun")</f>
        <v>Sun</v>
      </c>
      <c r="T5" s="20" t="str">
        <f>CHOOSE(WEEKDAY(T4,2),"Mon","Tue","Wed","Thu","Fri","Sat","Sun")</f>
        <v>Mon</v>
      </c>
      <c r="U5" s="20" t="str">
        <f>CHOOSE(WEEKDAY(U4,2),"Mon","Tue","Wed","Thu","Fri","Sat","Sun")</f>
        <v>Tue</v>
      </c>
      <c r="V5" s="20" t="str">
        <f>CHOOSE(WEEKDAY(V4,2),"Mon","Tue","Wed","Thu","Fri","Sat","Sun")</f>
        <v>Wed</v>
      </c>
      <c r="W5" s="20" t="str">
        <f>CHOOSE(WEEKDAY(W4,2),"Mon","Tue","Wed","Thu","Fri","Sat","Sun")</f>
        <v>Thu</v>
      </c>
      <c r="X5" s="20" t="str">
        <f>CHOOSE(WEEKDAY(X4,2),"Mon","Tue","Wed","Thu","Fri","Sat","Sun")</f>
        <v>Fri</v>
      </c>
      <c r="Y5" s="20" t="str">
        <f>CHOOSE(WEEKDAY(Y4,2),"Mon","Tue","Wed","Thu","Fri","Sat","Sun")</f>
        <v>Sat</v>
      </c>
      <c r="Z5" s="20" t="str">
        <f>CHOOSE(WEEKDAY(Z4,2),"Mon","Tue","Wed","Thu","Fri","Sat","Sun")</f>
        <v>Sun</v>
      </c>
      <c r="AA5" s="20" t="str">
        <f>CHOOSE(WEEKDAY(AA4,2),"Mon","Tue","Wed","Thu","Fri","Sat","Sun")</f>
        <v>Mon</v>
      </c>
      <c r="AB5" s="20" t="str">
        <f>CHOOSE(WEEKDAY(AB4,2),"Mon","Tue","Wed","Thu","Fri","Sat","Sun")</f>
        <v>Tue</v>
      </c>
      <c r="AC5" s="20" t="str">
        <f>CHOOSE(WEEKDAY(AC4,2),"Mon","Tue","Wed","Thu","Fri","Sat","Sun")</f>
        <v>Wed</v>
      </c>
      <c r="AD5" s="20" t="str">
        <f>CHOOSE(WEEKDAY(AD4,2),"Mon","Tue","Wed","Thu","Fri","Sat","Sun")</f>
        <v>Thu</v>
      </c>
      <c r="AE5" s="20" t="str">
        <f>CHOOSE(WEEKDAY(AE4,2),"Mon","Tue","Wed","Thu","Fri","Sat","Sun")</f>
        <v>Fri</v>
      </c>
      <c r="AF5" s="20" t="str">
        <f>CHOOSE(WEEKDAY(AF4,2),"Mon","Tue","Wed","Thu","Fri","Sat","Sun")</f>
        <v>Sat</v>
      </c>
    </row>
    <row r="6" spans="1:63" x14ac:dyDescent="0.2">
      <c r="A6" s="15" t="s">
        <v>35</v>
      </c>
      <c r="B6" s="14">
        <v>46054</v>
      </c>
      <c r="C6" s="14">
        <v>46055</v>
      </c>
      <c r="D6" s="13">
        <f>IF(B6="","",C6-B6)</f>
        <v>1</v>
      </c>
      <c r="E6" s="18"/>
      <c r="F6" s="12"/>
      <c r="G6" s="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</row>
    <row r="7" spans="1:63" x14ac:dyDescent="0.2">
      <c r="A7" s="15" t="s">
        <v>36</v>
      </c>
      <c r="B7" s="14">
        <v>46055</v>
      </c>
      <c r="C7" s="14">
        <v>46058</v>
      </c>
      <c r="D7" s="13">
        <f>IF(B7="","",C7-B7)</f>
        <v>3</v>
      </c>
      <c r="E7" s="18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</row>
    <row r="8" spans="1:63" x14ac:dyDescent="0.2">
      <c r="A8" s="15" t="s">
        <v>37</v>
      </c>
      <c r="B8" s="14">
        <v>46057</v>
      </c>
      <c r="C8" s="14">
        <v>46060</v>
      </c>
      <c r="D8" s="13">
        <f>IF(B8="","",C8-B8)</f>
        <v>3</v>
      </c>
      <c r="E8" s="18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</row>
    <row r="9" spans="1:63" x14ac:dyDescent="0.2">
      <c r="A9" s="15" t="s">
        <v>38</v>
      </c>
      <c r="B9" s="14">
        <v>46059</v>
      </c>
      <c r="C9" s="14">
        <v>46062</v>
      </c>
      <c r="D9" s="13">
        <f>IF(B9="","",C9-B9)</f>
        <v>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</row>
    <row r="10" spans="1:63" ht="16" x14ac:dyDescent="0.2">
      <c r="A10" s="17" t="s">
        <v>39</v>
      </c>
      <c r="B10" s="14">
        <v>46060</v>
      </c>
      <c r="C10" s="14">
        <v>46063</v>
      </c>
      <c r="D10" s="13">
        <f>IF(B10="","",C10-B10)</f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</row>
    <row r="11" spans="1:63" ht="16" x14ac:dyDescent="0.2">
      <c r="A11" s="17" t="s">
        <v>40</v>
      </c>
      <c r="B11" s="14">
        <v>46063</v>
      </c>
      <c r="C11" s="14">
        <v>46065</v>
      </c>
      <c r="D11" s="13">
        <f>IF(B11="","",C11-B11)</f>
        <v>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</row>
    <row r="12" spans="1:63" ht="16" x14ac:dyDescent="0.2">
      <c r="A12" s="17" t="s">
        <v>41</v>
      </c>
      <c r="B12" s="14">
        <v>46056</v>
      </c>
      <c r="C12" s="14">
        <v>46065</v>
      </c>
      <c r="D12" s="13">
        <f>IF(B12="","",C12-B12)</f>
        <v>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63" ht="16" x14ac:dyDescent="0.2">
      <c r="A13" s="17" t="s">
        <v>42</v>
      </c>
      <c r="B13" s="14">
        <v>46060</v>
      </c>
      <c r="C13" s="14">
        <v>46065</v>
      </c>
      <c r="D13" s="13">
        <f>IF(B13="","",C13-B13)</f>
        <v>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63" ht="16" x14ac:dyDescent="0.2">
      <c r="A14" s="17" t="s">
        <v>43</v>
      </c>
      <c r="B14" s="14">
        <v>46063</v>
      </c>
      <c r="C14" s="14">
        <v>46069</v>
      </c>
      <c r="D14" s="13">
        <f>IF(B14="","",C14-B14)</f>
        <v>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63" ht="16" x14ac:dyDescent="0.2">
      <c r="A15" s="17" t="s">
        <v>44</v>
      </c>
      <c r="B15" s="14">
        <v>46064</v>
      </c>
      <c r="C15" s="14">
        <v>46069</v>
      </c>
      <c r="D15" s="13">
        <f>IF(B15="","",C15-B15)</f>
        <v>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63" ht="16" x14ac:dyDescent="0.2">
      <c r="A16" s="17" t="s">
        <v>45</v>
      </c>
      <c r="B16" s="14">
        <v>46066</v>
      </c>
      <c r="C16" s="14">
        <v>46069</v>
      </c>
      <c r="D16" s="13">
        <f>IF(B16="","",C16-B16)</f>
        <v>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ht="16" x14ac:dyDescent="0.2">
      <c r="A17" s="16"/>
      <c r="B17" s="14"/>
      <c r="C17" s="14"/>
      <c r="D17" s="13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ht="16" x14ac:dyDescent="0.2">
      <c r="A18" s="17"/>
      <c r="B18" s="14"/>
      <c r="C18" s="14"/>
      <c r="D18" s="13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ht="16" x14ac:dyDescent="0.2">
      <c r="A19" s="17"/>
      <c r="B19" s="14"/>
      <c r="C19" s="14"/>
      <c r="D19" s="13"/>
      <c r="E19" s="11"/>
      <c r="F19" s="11"/>
      <c r="G19" s="11"/>
      <c r="H19" s="11"/>
      <c r="I19" s="11"/>
      <c r="J19" s="11"/>
      <c r="K19" s="11"/>
      <c r="L19" s="11"/>
      <c r="M19" s="11"/>
      <c r="N19" s="12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16" x14ac:dyDescent="0.2">
      <c r="A20" s="17"/>
      <c r="B20" s="14"/>
      <c r="C20" s="14"/>
      <c r="D20" s="13"/>
      <c r="E20" s="11"/>
      <c r="F20" s="11"/>
      <c r="G20" s="11"/>
      <c r="H20" s="11"/>
      <c r="I20" s="11"/>
      <c r="J20" s="11"/>
      <c r="K20" s="11"/>
      <c r="L20" s="11"/>
      <c r="M20" s="11"/>
      <c r="N20" s="12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6" x14ac:dyDescent="0.2">
      <c r="A21" s="16"/>
      <c r="B21" s="14"/>
      <c r="C21" s="14"/>
      <c r="D21" s="13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6" x14ac:dyDescent="0.2">
      <c r="A22" s="17"/>
      <c r="B22" s="14"/>
      <c r="C22" s="14"/>
      <c r="D22" s="13"/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6" x14ac:dyDescent="0.2">
      <c r="A23" s="17"/>
      <c r="B23" s="14"/>
      <c r="C23" s="14"/>
      <c r="D23" s="13"/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6" x14ac:dyDescent="0.2">
      <c r="A24" s="16"/>
      <c r="B24" s="14"/>
      <c r="C24" s="14"/>
      <c r="D24" s="13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6" x14ac:dyDescent="0.2">
      <c r="A25" s="17"/>
      <c r="B25" s="14"/>
      <c r="C25" s="14"/>
      <c r="D25" s="13"/>
      <c r="E25" s="11"/>
      <c r="F25" s="11"/>
      <c r="G25" s="11"/>
      <c r="H25" s="11"/>
      <c r="I25" s="11"/>
      <c r="J25" s="11"/>
      <c r="K25" s="11"/>
      <c r="L25" s="11"/>
      <c r="M25" s="11"/>
      <c r="N25" s="12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6" x14ac:dyDescent="0.2">
      <c r="A26" s="17"/>
      <c r="B26" s="14"/>
      <c r="C26" s="14"/>
      <c r="D26" s="13"/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6" x14ac:dyDescent="0.2">
      <c r="A27" s="17"/>
      <c r="B27" s="14"/>
      <c r="C27" s="14"/>
      <c r="D27" s="13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6" x14ac:dyDescent="0.2">
      <c r="A28" s="16"/>
      <c r="B28" s="14"/>
      <c r="C28" s="14"/>
      <c r="D28" s="13"/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x14ac:dyDescent="0.2">
      <c r="A29" s="15"/>
      <c r="B29" s="14"/>
      <c r="C29" s="14"/>
      <c r="D29" s="13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x14ac:dyDescent="0.2">
      <c r="A30" s="15"/>
      <c r="B30" s="14"/>
      <c r="C30" s="14"/>
      <c r="D30" s="13"/>
      <c r="E30" s="11"/>
      <c r="F30" s="11"/>
      <c r="G30" s="11"/>
      <c r="H30" s="11"/>
      <c r="I30" s="11"/>
      <c r="J30" s="11"/>
      <c r="K30" s="11"/>
      <c r="L30" s="11"/>
      <c r="M30" s="11"/>
      <c r="N30" s="12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x14ac:dyDescent="0.2">
      <c r="E31" s="11"/>
      <c r="F31" s="11"/>
      <c r="G31" s="11"/>
      <c r="H31" s="11"/>
      <c r="I31" s="11"/>
      <c r="J31" s="11"/>
      <c r="K31" s="11"/>
      <c r="L31" s="11"/>
      <c r="M31" s="11"/>
      <c r="N31" s="12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</sheetData>
  <mergeCells count="7">
    <mergeCell ref="B1:C1"/>
    <mergeCell ref="B2:C2"/>
    <mergeCell ref="E3:AF3"/>
    <mergeCell ref="A3:A5"/>
    <mergeCell ref="B3:B5"/>
    <mergeCell ref="C3:C5"/>
    <mergeCell ref="D3:D5"/>
  </mergeCells>
  <conditionalFormatting sqref="E6:AF31">
    <cfRule type="expression" dxfId="1" priority="1">
      <formula>E$4=TODAY()</formula>
    </cfRule>
    <cfRule type="expression" dxfId="0" priority="2" stopIfTrue="1">
      <formula>AND(E$4&gt;=$B6,E$4&lt;=$C6)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Main Chart</vt:lpstr>
      <vt:lpstr>Main bank</vt:lpstr>
      <vt:lpstr>A trustworthy company</vt:lpstr>
      <vt:lpstr>Priorities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Kseniia</dc:creator>
  <cp:lastModifiedBy>Microsoft Office User</cp:lastModifiedBy>
  <dcterms:created xsi:type="dcterms:W3CDTF">2015-06-05T18:17:20Z</dcterms:created>
  <dcterms:modified xsi:type="dcterms:W3CDTF">2026-02-13T20:07:08Z</dcterms:modified>
</cp:coreProperties>
</file>